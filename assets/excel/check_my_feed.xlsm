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/>
  <bookViews>
    <workbookView xWindow="0" yWindow="0" windowWidth="19200" windowHeight="11025" tabRatio="810" activeTab="2"/>
  </bookViews>
  <sheets>
    <sheet name="Title" sheetId="13" r:id="rId1"/>
    <sheet name="Cow req" sheetId="1" r:id="rId2"/>
    <sheet name="Ration form" sheetId="9" r:id="rId3"/>
    <sheet name="MIFC" sheetId="12" r:id="rId4"/>
    <sheet name="Feed database" sheetId="8" r:id="rId5"/>
    <sheet name="Energy for milk prod" sheetId="11" r:id="rId6"/>
    <sheet name="Print form" sheetId="15" r:id="rId7"/>
    <sheet name="Sheet1" sheetId="16" r:id="rId8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_xlnm.Print_Area" localSheetId="1">'Cow req'!#REF!</definedName>
    <definedName name="_xlnm.Print_Area" localSheetId="6">'Print form'!$A$1:$I$39</definedName>
    <definedName name="Protein_nut">'Feed database'!$H$7:$H$24</definedName>
    <definedName name="Serat_nut">'Feed database'!$J$7:$J$24</definedName>
    <definedName name="solver_cvg" localSheetId="2" hidden="1">0.000001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100</definedName>
    <definedName name="solver_lhs1" localSheetId="2" hidden="1">'Ration form'!$E$32</definedName>
    <definedName name="solver_lhs10" localSheetId="2" hidden="1">'Ration form'!$K$33</definedName>
    <definedName name="solver_lhs11" localSheetId="2" hidden="1">'Ration form'!$D$4:$D$13</definedName>
    <definedName name="solver_lhs12" localSheetId="2" hidden="1">'Ration form'!$E$32</definedName>
    <definedName name="solver_lhs13" localSheetId="2" hidden="1">'Ration form'!$F$32</definedName>
    <definedName name="solver_lhs14" localSheetId="2" hidden="1">'Ration form'!$G$32</definedName>
    <definedName name="solver_lhs15" localSheetId="2" hidden="1">'Ration form'!$H$32</definedName>
    <definedName name="solver_lhs16" localSheetId="2" hidden="1">'Ration form'!$K$33</definedName>
    <definedName name="solver_lhs17" localSheetId="2" hidden="1">'Ration form'!$D$4:$D$13</definedName>
    <definedName name="solver_lhs2" localSheetId="2" hidden="1">'Ration form'!$E$32</definedName>
    <definedName name="solver_lhs3" localSheetId="2" hidden="1">'Ration form'!$F$32</definedName>
    <definedName name="solver_lhs4" localSheetId="2" hidden="1">'Ration form'!$F$32</definedName>
    <definedName name="solver_lhs5" localSheetId="2" hidden="1">'Ration form'!$G$32</definedName>
    <definedName name="solver_lhs6" localSheetId="2" hidden="1">'Ration form'!$H$32</definedName>
    <definedName name="solver_lhs7" localSheetId="2" hidden="1">'Ration form'!$L$32</definedName>
    <definedName name="solver_lhs8" localSheetId="2" hidden="1">'Ration form'!$D$4:$D$13</definedName>
    <definedName name="solver_lhs9" localSheetId="2" hidden="1">'Ration form'!$H$32</definedName>
    <definedName name="solver_lin" localSheetId="2" hidden="1">1</definedName>
    <definedName name="solver_neg" localSheetId="2" hidden="1">1</definedName>
    <definedName name="solver_num" localSheetId="2" hidden="1">0</definedName>
    <definedName name="solver_nwt" localSheetId="2" hidden="1">1</definedName>
    <definedName name="solver_pre" localSheetId="2" hidden="1">0.0001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1</definedName>
    <definedName name="solver_rel17" localSheetId="2" hidden="1">1</definedName>
    <definedName name="solver_rel2" localSheetId="2" hidden="1">3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el9" localSheetId="2" hidden="1">3</definedName>
    <definedName name="solver_rhs1" localSheetId="2" hidden="1">'Ration form'!$H$36</definedName>
    <definedName name="solver_rhs10" localSheetId="2" hidden="1">'Ration form'!$K$34</definedName>
    <definedName name="solver_rhs11" localSheetId="2" hidden="1">'Ration form'!C4:C13</definedName>
    <definedName name="solver_rhs12" localSheetId="2" hidden="1">'Ration form'!$H$36</definedName>
    <definedName name="solver_rhs13" localSheetId="2" hidden="1">'Ration form'!$F$34</definedName>
    <definedName name="solver_rhs14" localSheetId="2" hidden="1">'Ration form'!$G$34</definedName>
    <definedName name="solver_rhs15" localSheetId="2" hidden="1">'Ration form'!$H$34</definedName>
    <definedName name="solver_rhs16" localSheetId="2" hidden="1">'Ration form'!$K$34</definedName>
    <definedName name="solver_rhs17" localSheetId="2" hidden="1">'Ration form'!C4:C13</definedName>
    <definedName name="solver_rhs2" localSheetId="2" hidden="1">'Ration form'!$E$34</definedName>
    <definedName name="solver_rhs3" localSheetId="2" hidden="1">'Ration form'!$F$34</definedName>
    <definedName name="solver_rhs4" localSheetId="2" hidden="1">'Ration form'!$F$35</definedName>
    <definedName name="solver_rhs5" localSheetId="2" hidden="1">'Ration form'!$G$34</definedName>
    <definedName name="solver_rhs6" localSheetId="2" hidden="1">'Ration form'!$H$38</definedName>
    <definedName name="solver_rhs7" localSheetId="2" hidden="1">'Ration form'!$L$38</definedName>
    <definedName name="solver_rhs8" localSheetId="2" hidden="1">'Ration form'!C4:C13</definedName>
    <definedName name="solver_rhs9" localSheetId="2" hidden="1">'Ration form'!$H$34</definedName>
    <definedName name="solver_scl" localSheetId="2" hidden="1">0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24519"/>
</workbook>
</file>

<file path=xl/calcChain.xml><?xml version="1.0" encoding="utf-8"?>
<calcChain xmlns="http://schemas.openxmlformats.org/spreadsheetml/2006/main">
  <c r="M7" i="9"/>
  <c r="N7" s="1"/>
  <c r="E7"/>
  <c r="I7" s="1"/>
  <c r="F7" l="1"/>
  <c r="K7"/>
  <c r="J7"/>
  <c r="H7"/>
  <c r="G7"/>
  <c r="D44" i="15"/>
  <c r="D45"/>
  <c r="D46"/>
  <c r="D47"/>
  <c r="D48"/>
  <c r="D49"/>
  <c r="D50"/>
  <c r="D51"/>
  <c r="D52"/>
  <c r="B44"/>
  <c r="B45"/>
  <c r="B46"/>
  <c r="B47"/>
  <c r="B48"/>
  <c r="B49"/>
  <c r="B50"/>
  <c r="B51"/>
  <c r="B52"/>
  <c r="D32" i="9"/>
  <c r="M20"/>
  <c r="N20" s="1"/>
  <c r="M22"/>
  <c r="N22" s="1"/>
  <c r="M23"/>
  <c r="N23" s="1"/>
  <c r="M24"/>
  <c r="N24" s="1"/>
  <c r="M25"/>
  <c r="N25" s="1"/>
  <c r="M26"/>
  <c r="N26" s="1"/>
  <c r="M27"/>
  <c r="N27" s="1"/>
  <c r="M28"/>
  <c r="N28" s="1"/>
  <c r="M29"/>
  <c r="N29" s="1"/>
  <c r="K30"/>
  <c r="K31"/>
  <c r="J30"/>
  <c r="I30"/>
  <c r="H30"/>
  <c r="G30"/>
  <c r="G31"/>
  <c r="F30"/>
  <c r="E20"/>
  <c r="G20" s="1"/>
  <c r="E22"/>
  <c r="K22" s="1"/>
  <c r="E23"/>
  <c r="J23" s="1"/>
  <c r="E24"/>
  <c r="K24" s="1"/>
  <c r="E25"/>
  <c r="K25" s="1"/>
  <c r="E26"/>
  <c r="J26" s="1"/>
  <c r="E27"/>
  <c r="K27" s="1"/>
  <c r="E28"/>
  <c r="K28" s="1"/>
  <c r="E29"/>
  <c r="H29" s="1"/>
  <c r="E30"/>
  <c r="H25" l="1"/>
  <c r="F25"/>
  <c r="G29"/>
  <c r="G22"/>
  <c r="H23"/>
  <c r="I27"/>
  <c r="K23"/>
  <c r="F29"/>
  <c r="G27"/>
  <c r="F23"/>
  <c r="F27"/>
  <c r="G25"/>
  <c r="H27"/>
  <c r="I29"/>
  <c r="J29"/>
  <c r="K29"/>
  <c r="G28"/>
  <c r="I28"/>
  <c r="F28"/>
  <c r="H28"/>
  <c r="J28"/>
  <c r="J27"/>
  <c r="F26"/>
  <c r="H26"/>
  <c r="I26"/>
  <c r="G26"/>
  <c r="K26"/>
  <c r="I25"/>
  <c r="J25"/>
  <c r="G24"/>
  <c r="H24"/>
  <c r="F24"/>
  <c r="I24"/>
  <c r="J24"/>
  <c r="I23"/>
  <c r="G23"/>
  <c r="J22"/>
  <c r="H22"/>
  <c r="I22"/>
  <c r="F22"/>
  <c r="F20"/>
  <c r="I20"/>
  <c r="J20"/>
  <c r="K20"/>
  <c r="H20"/>
  <c r="G9" i="15"/>
  <c r="D29"/>
  <c r="D30"/>
  <c r="D31"/>
  <c r="D32"/>
  <c r="D33"/>
  <c r="D34"/>
  <c r="D35"/>
  <c r="D36"/>
  <c r="D37"/>
  <c r="D38"/>
  <c r="D39"/>
  <c r="D40"/>
  <c r="D41"/>
  <c r="D42"/>
  <c r="D43"/>
  <c r="B29"/>
  <c r="B30"/>
  <c r="B31"/>
  <c r="B32"/>
  <c r="B33"/>
  <c r="B34"/>
  <c r="B35"/>
  <c r="B36"/>
  <c r="B37"/>
  <c r="B38"/>
  <c r="B39"/>
  <c r="B40"/>
  <c r="B41"/>
  <c r="B42"/>
  <c r="B43"/>
  <c r="M18" i="9"/>
  <c r="N18" s="1"/>
  <c r="E18"/>
  <c r="K18" s="1"/>
  <c r="F18" l="1"/>
  <c r="H18"/>
  <c r="J18"/>
  <c r="G18"/>
  <c r="I18"/>
  <c r="E4"/>
  <c r="A7" i="8"/>
  <c r="E7"/>
  <c r="G7" s="1"/>
  <c r="M7" l="1"/>
  <c r="O7"/>
  <c r="K7"/>
  <c r="I7"/>
  <c r="B28" i="15" l="1"/>
  <c r="E8" i="12"/>
  <c r="A8" i="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B57" i="15"/>
  <c r="M14" i="9"/>
  <c r="N14" s="1"/>
  <c r="M15"/>
  <c r="N15" s="1"/>
  <c r="M16"/>
  <c r="N16" s="1"/>
  <c r="M17"/>
  <c r="N17" s="1"/>
  <c r="M19"/>
  <c r="N19" s="1"/>
  <c r="D57" i="15"/>
  <c r="E16" i="9"/>
  <c r="K16" s="1"/>
  <c r="E17"/>
  <c r="K17" s="1"/>
  <c r="E19"/>
  <c r="K19" s="1"/>
  <c r="E15"/>
  <c r="K15" s="1"/>
  <c r="O32" i="8"/>
  <c r="M32"/>
  <c r="K29"/>
  <c r="K31"/>
  <c r="K32"/>
  <c r="I29"/>
  <c r="I31"/>
  <c r="I32"/>
  <c r="G29"/>
  <c r="G31"/>
  <c r="E27"/>
  <c r="O27" s="1"/>
  <c r="E28"/>
  <c r="M28" s="1"/>
  <c r="E29"/>
  <c r="M29" s="1"/>
  <c r="E30"/>
  <c r="O30" s="1"/>
  <c r="E31"/>
  <c r="M31" s="1"/>
  <c r="E32"/>
  <c r="G32" s="1"/>
  <c r="D2" i="11"/>
  <c r="E2"/>
  <c r="F2"/>
  <c r="G2"/>
  <c r="H2"/>
  <c r="I2"/>
  <c r="J2"/>
  <c r="K2"/>
  <c r="L2"/>
  <c r="M2"/>
  <c r="C2"/>
  <c r="E14" i="9"/>
  <c r="K14" s="1"/>
  <c r="D8" i="12"/>
  <c r="O29" i="8" l="1"/>
  <c r="G28"/>
  <c r="I28"/>
  <c r="K28"/>
  <c r="O28"/>
  <c r="I27"/>
  <c r="M27"/>
  <c r="O31"/>
  <c r="G27"/>
  <c r="K27"/>
  <c r="F19" i="9"/>
  <c r="F16"/>
  <c r="G19"/>
  <c r="G16"/>
  <c r="H19"/>
  <c r="H16"/>
  <c r="I19"/>
  <c r="I16"/>
  <c r="J19"/>
  <c r="J16"/>
  <c r="F17"/>
  <c r="F15"/>
  <c r="G17"/>
  <c r="G15"/>
  <c r="H17"/>
  <c r="H15"/>
  <c r="I17"/>
  <c r="I15"/>
  <c r="J17"/>
  <c r="J15"/>
  <c r="F14"/>
  <c r="H14"/>
  <c r="J14"/>
  <c r="G14"/>
  <c r="I14"/>
  <c r="G30" i="8"/>
  <c r="I30"/>
  <c r="K30"/>
  <c r="M30"/>
  <c r="H29" i="15" l="1"/>
  <c r="F27"/>
  <c r="D28"/>
  <c r="C21"/>
  <c r="C20"/>
  <c r="C19"/>
  <c r="C18"/>
  <c r="C17"/>
  <c r="B21"/>
  <c r="B20"/>
  <c r="B19"/>
  <c r="B18"/>
  <c r="B17"/>
  <c r="D27"/>
  <c r="B27"/>
  <c r="C16"/>
  <c r="B16"/>
  <c r="C15"/>
  <c r="B15"/>
  <c r="H34" i="9" l="1"/>
  <c r="G20" i="15" s="1"/>
  <c r="K26" i="8" l="1"/>
  <c r="I26"/>
  <c r="G26"/>
  <c r="E26" l="1"/>
  <c r="O26" l="1"/>
  <c r="M26"/>
  <c r="E25"/>
  <c r="G25" l="1"/>
  <c r="K25"/>
  <c r="I25"/>
  <c r="O25"/>
  <c r="M25"/>
  <c r="D6" i="1"/>
  <c r="D5"/>
  <c r="D4"/>
  <c r="D9"/>
  <c r="AC3" l="1"/>
  <c r="AC4"/>
  <c r="AC5"/>
  <c r="AC2"/>
  <c r="F36" i="9"/>
  <c r="E5"/>
  <c r="E6"/>
  <c r="K6" s="1"/>
  <c r="E21"/>
  <c r="K21" s="1"/>
  <c r="E8"/>
  <c r="K8" s="1"/>
  <c r="E9"/>
  <c r="K9" s="1"/>
  <c r="E10"/>
  <c r="E11"/>
  <c r="K11" s="1"/>
  <c r="E12"/>
  <c r="H12" s="1"/>
  <c r="E13"/>
  <c r="H4"/>
  <c r="D25" i="1"/>
  <c r="K34" i="9" s="1"/>
  <c r="M13"/>
  <c r="N13" s="1"/>
  <c r="M12"/>
  <c r="N12" s="1"/>
  <c r="M11"/>
  <c r="N11" s="1"/>
  <c r="M10"/>
  <c r="N10" s="1"/>
  <c r="M9"/>
  <c r="N9" s="1"/>
  <c r="M8"/>
  <c r="N8" s="1"/>
  <c r="M21"/>
  <c r="N21" s="1"/>
  <c r="M6"/>
  <c r="N6" s="1"/>
  <c r="M5"/>
  <c r="N5" s="1"/>
  <c r="M4"/>
  <c r="N4" s="1"/>
  <c r="E8" i="8"/>
  <c r="E9"/>
  <c r="E10"/>
  <c r="E11"/>
  <c r="E12"/>
  <c r="E13"/>
  <c r="E14"/>
  <c r="E15"/>
  <c r="E16"/>
  <c r="E17"/>
  <c r="E18"/>
  <c r="E19"/>
  <c r="E20"/>
  <c r="E21"/>
  <c r="E22"/>
  <c r="E23"/>
  <c r="E24"/>
  <c r="B5" i="12"/>
  <c r="C5"/>
  <c r="D5"/>
  <c r="E5"/>
  <c r="B12"/>
  <c r="E12" s="1"/>
  <c r="H30" i="15" s="1"/>
  <c r="C12" i="12"/>
  <c r="D36" i="9"/>
  <c r="E34" s="1"/>
  <c r="N32" l="1"/>
  <c r="E14" i="12" s="1"/>
  <c r="G5" i="9"/>
  <c r="E32"/>
  <c r="O9" i="8"/>
  <c r="M9"/>
  <c r="O16"/>
  <c r="M16"/>
  <c r="O15"/>
  <c r="M15"/>
  <c r="M21"/>
  <c r="O21"/>
  <c r="O12"/>
  <c r="M12"/>
  <c r="M24"/>
  <c r="O24"/>
  <c r="O17"/>
  <c r="M17"/>
  <c r="O11"/>
  <c r="M11"/>
  <c r="O10"/>
  <c r="M10"/>
  <c r="K13" i="9"/>
  <c r="I13"/>
  <c r="H13"/>
  <c r="G13"/>
  <c r="F13"/>
  <c r="O22" i="8"/>
  <c r="M22"/>
  <c r="O23"/>
  <c r="M23"/>
  <c r="K10" i="9"/>
  <c r="M14" i="8"/>
  <c r="O14"/>
  <c r="I8"/>
  <c r="O8"/>
  <c r="M8"/>
  <c r="I9"/>
  <c r="G9"/>
  <c r="K9"/>
  <c r="K10"/>
  <c r="G10"/>
  <c r="I10"/>
  <c r="K12"/>
  <c r="G12"/>
  <c r="I12"/>
  <c r="I14"/>
  <c r="K14"/>
  <c r="G14"/>
  <c r="K15"/>
  <c r="G15"/>
  <c r="I15"/>
  <c r="I16"/>
  <c r="K16"/>
  <c r="G16"/>
  <c r="M19"/>
  <c r="I19"/>
  <c r="G19"/>
  <c r="O19"/>
  <c r="K19"/>
  <c r="G21"/>
  <c r="K21"/>
  <c r="I21"/>
  <c r="G23"/>
  <c r="K23"/>
  <c r="I23"/>
  <c r="G24"/>
  <c r="K24"/>
  <c r="I24"/>
  <c r="K11"/>
  <c r="I11"/>
  <c r="G11"/>
  <c r="K22"/>
  <c r="I22"/>
  <c r="G22"/>
  <c r="K17"/>
  <c r="I17"/>
  <c r="G17"/>
  <c r="L34" i="9"/>
  <c r="L38" s="1"/>
  <c r="G24" i="15"/>
  <c r="H38" i="9"/>
  <c r="K8" i="8"/>
  <c r="G8"/>
  <c r="O20"/>
  <c r="M20"/>
  <c r="K20"/>
  <c r="I20"/>
  <c r="G20"/>
  <c r="O18"/>
  <c r="M18"/>
  <c r="K18"/>
  <c r="I18"/>
  <c r="G18"/>
  <c r="O13"/>
  <c r="M13"/>
  <c r="K13"/>
  <c r="I13"/>
  <c r="G13"/>
  <c r="D22" i="1"/>
  <c r="D19"/>
  <c r="J13" i="9"/>
  <c r="H8"/>
  <c r="I11"/>
  <c r="F11"/>
  <c r="J11"/>
  <c r="H11"/>
  <c r="G11"/>
  <c r="J4"/>
  <c r="G12"/>
  <c r="G4"/>
  <c r="I12"/>
  <c r="K4"/>
  <c r="F4"/>
  <c r="F12"/>
  <c r="J12"/>
  <c r="I4"/>
  <c r="K12"/>
  <c r="H6"/>
  <c r="I6"/>
  <c r="F5"/>
  <c r="G9"/>
  <c r="F9"/>
  <c r="J6"/>
  <c r="H5"/>
  <c r="I5"/>
  <c r="J8"/>
  <c r="F8"/>
  <c r="G8"/>
  <c r="F6"/>
  <c r="J5"/>
  <c r="F10"/>
  <c r="J10"/>
  <c r="I9"/>
  <c r="J9"/>
  <c r="H9"/>
  <c r="I8"/>
  <c r="G6"/>
  <c r="G10"/>
  <c r="H10"/>
  <c r="I10"/>
  <c r="G21"/>
  <c r="H21"/>
  <c r="I21"/>
  <c r="F21"/>
  <c r="J21"/>
  <c r="H36"/>
  <c r="D10" i="1"/>
  <c r="K5" i="9"/>
  <c r="H32" l="1"/>
  <c r="H33" s="1"/>
  <c r="E9" i="12" s="1"/>
  <c r="K32" i="9"/>
  <c r="I32"/>
  <c r="F9" i="12" s="1"/>
  <c r="G32" i="9"/>
  <c r="H17" i="15" s="1"/>
  <c r="J32" i="9"/>
  <c r="G9" i="12" s="1"/>
  <c r="F32" i="9"/>
  <c r="C9" i="12" s="1"/>
  <c r="C8"/>
  <c r="E10" i="1"/>
  <c r="F8" i="12"/>
  <c r="G8"/>
  <c r="H23" i="15"/>
  <c r="B9" i="12"/>
  <c r="E16"/>
  <c r="H32" i="15" s="1"/>
  <c r="H31"/>
  <c r="G34" i="9"/>
  <c r="G17" i="15" s="1"/>
  <c r="G23"/>
  <c r="G16"/>
  <c r="J34" i="9"/>
  <c r="G19" i="15" s="1"/>
  <c r="I34" i="9"/>
  <c r="G18" i="15" s="1"/>
  <c r="I37" i="9"/>
  <c r="B8" i="12"/>
  <c r="F34" i="9"/>
  <c r="F35" s="1"/>
  <c r="K33" l="1"/>
  <c r="H24" i="15" s="1"/>
  <c r="H20"/>
  <c r="I33" i="9"/>
  <c r="H18" i="15"/>
  <c r="J33" i="9"/>
  <c r="H19" i="15"/>
  <c r="G33" i="9"/>
  <c r="D9" i="12" s="1"/>
  <c r="H16" i="15"/>
  <c r="L32" i="9"/>
</calcChain>
</file>

<file path=xl/sharedStrings.xml><?xml version="1.0" encoding="utf-8"?>
<sst xmlns="http://schemas.openxmlformats.org/spreadsheetml/2006/main" count="255" uniqueCount="204">
  <si>
    <t>X</t>
  </si>
  <si>
    <t>=</t>
  </si>
  <si>
    <t>A</t>
  </si>
  <si>
    <t>E</t>
  </si>
  <si>
    <t>H</t>
  </si>
  <si>
    <t>B</t>
  </si>
  <si>
    <t>F</t>
  </si>
  <si>
    <t>C</t>
  </si>
  <si>
    <t>G</t>
  </si>
  <si>
    <t>D</t>
  </si>
  <si>
    <t>I</t>
  </si>
  <si>
    <t>C / D</t>
  </si>
  <si>
    <t>C / F</t>
  </si>
  <si>
    <t>C / H</t>
  </si>
  <si>
    <t>No.</t>
  </si>
  <si>
    <t>Formula</t>
  </si>
  <si>
    <t>A / B x 100</t>
  </si>
  <si>
    <t>Maximum DM intake (kg/d)</t>
  </si>
  <si>
    <t>Live weight (kg)</t>
  </si>
  <si>
    <t>DM intake (kg/d)</t>
  </si>
  <si>
    <t>Fresh feed intake (kg/d)</t>
  </si>
  <si>
    <t>ME intake (MJ/d)</t>
  </si>
  <si>
    <t>CP intake (kg/d)</t>
  </si>
  <si>
    <t>Ration ingredients</t>
  </si>
  <si>
    <t xml:space="preserve">Total intake per head:  </t>
  </si>
  <si>
    <t xml:space="preserve">% DM:  </t>
  </si>
  <si>
    <t>Ration formulation for milking cows</t>
  </si>
  <si>
    <t>Price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</si>
  <si>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</si>
  <si>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</si>
  <si>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</si>
  <si>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</si>
  <si>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</si>
  <si>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</si>
  <si>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</si>
  <si>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DM content</t>
  </si>
  <si>
    <t>%</t>
  </si>
  <si>
    <t>MJ/kg DM</t>
  </si>
  <si>
    <t>Feed</t>
  </si>
  <si>
    <t>Maize grain</t>
  </si>
  <si>
    <t>Milk prod (kg/d)</t>
  </si>
  <si>
    <t>Milk fat &amp; protein(%)</t>
  </si>
  <si>
    <t>DM (kg)</t>
  </si>
  <si>
    <t>Energy
[MJ ME]</t>
  </si>
  <si>
    <t>Protein
(%)</t>
  </si>
  <si>
    <t>NDF
(%)</t>
  </si>
  <si>
    <t>Nutrient requirements</t>
  </si>
  <si>
    <t>Stage of lactation</t>
  </si>
  <si>
    <t>Cow descriptors</t>
  </si>
  <si>
    <t>CP (%)</t>
  </si>
  <si>
    <t>Milk yield</t>
  </si>
  <si>
    <t>Pregnancy (mth)</t>
  </si>
  <si>
    <t>Condition score/LWT change</t>
  </si>
  <si>
    <t>Energy requirements for milk production (MJ ME/kg)</t>
  </si>
  <si>
    <t>Protein %</t>
  </si>
  <si>
    <t>Fat %</t>
  </si>
  <si>
    <t>Nutrient supply</t>
  </si>
  <si>
    <t>Feed cost</t>
  </si>
  <si>
    <t>Milk income less feed cost (MIFC)</t>
  </si>
  <si>
    <t>NDF intake [kg/d)</t>
  </si>
  <si>
    <t>Dry</t>
  </si>
  <si>
    <t>Early lactation</t>
  </si>
  <si>
    <t>Mid lactation</t>
  </si>
  <si>
    <t>Late lactation</t>
  </si>
  <si>
    <t>ME req (MJ ME/d)</t>
  </si>
  <si>
    <t>Fat% &amp; Protein %</t>
  </si>
  <si>
    <t>Loss</t>
  </si>
  <si>
    <t>Gain &amp; dry</t>
  </si>
  <si>
    <t>Gain &amp; lactating</t>
  </si>
  <si>
    <t>CS &amp; LW Ch/lactating or dry</t>
  </si>
  <si>
    <t>Energy (MJ/kg)</t>
  </si>
  <si>
    <t>NDF (%)</t>
  </si>
  <si>
    <t>Energy
(MJ ME/d)</t>
  </si>
  <si>
    <t>Insert numbers only in the blue cells</t>
  </si>
  <si>
    <t>Molasses</t>
  </si>
  <si>
    <t>DAIRY COW FEEDING PROFIT PROGRAM</t>
  </si>
  <si>
    <t>This program calculates "Milk income less feed costs" for milking cows</t>
  </si>
  <si>
    <t>INSTRUCTIONS FOR USING PROGRAM</t>
  </si>
  <si>
    <t>1. Input cow details in "Cow req", using selecting arrows when required</t>
  </si>
  <si>
    <t xml:space="preserve">Cow energy requirements
</t>
  </si>
  <si>
    <t>ME req for maintenance (MJ ME/d)</t>
  </si>
  <si>
    <t>For farmers with no milk protein information, the content of milk solids not fat (SNF) can be used</t>
  </si>
  <si>
    <t>Milk protein % = SNF (%) - 5.4</t>
  </si>
  <si>
    <t>Insert cow live weight, months pregnant, target milk yield and composition, and change in daily live weight</t>
  </si>
  <si>
    <t xml:space="preserve">The program will calculate the required energy supplied by and % protein of the required ration </t>
  </si>
  <si>
    <t>Select the feeds and enter the amount of fresh feed on offer</t>
  </si>
  <si>
    <t>The program will calculate the energy, protein and fibre supplied by the ration</t>
  </si>
  <si>
    <t xml:space="preserve">3.  Modify the ration ingredients and quantity fed to meet cow requirements for energy (MJ/d), protein (%) and fibre (%)  </t>
  </si>
  <si>
    <t>2. Select the ration ingredients in "Ration form". These are derived from "Feed data base"</t>
  </si>
  <si>
    <t>The feed price, ME, CP and NDF contents of ration ingredients can be modified in "Feed data base"</t>
  </si>
  <si>
    <t>Insert numbers only in the blue cell</t>
  </si>
  <si>
    <t>Protein req %</t>
  </si>
  <si>
    <t>Protein</t>
  </si>
  <si>
    <t>Ca content</t>
  </si>
  <si>
    <t>Ca price</t>
  </si>
  <si>
    <t>P content</t>
  </si>
  <si>
    <t>P price</t>
  </si>
  <si>
    <t>Ca intake (g/d)</t>
  </si>
  <si>
    <t>P intake (g/d)</t>
  </si>
  <si>
    <t>Total price</t>
  </si>
  <si>
    <t>Ca (g/d)</t>
  </si>
  <si>
    <t>P (g/d)</t>
  </si>
  <si>
    <t>Ref requirements based on max DM intake</t>
  </si>
  <si>
    <t>Volume (kg)</t>
  </si>
  <si>
    <t>Concentrate content</t>
  </si>
  <si>
    <t>Forage content</t>
  </si>
  <si>
    <t>Concentrate max (%)</t>
  </si>
  <si>
    <t>Milk range (kg)</t>
  </si>
  <si>
    <t>&lt;=5</t>
  </si>
  <si>
    <t>5.0 - 10.0</t>
  </si>
  <si>
    <t>10.0 - 15.0</t>
  </si>
  <si>
    <t>15.0 - 25.0</t>
  </si>
  <si>
    <t xml:space="preserve">Corresponding Percent concentrate dry 
matter of the total dry 
matter intake </t>
  </si>
  <si>
    <t>%DM</t>
  </si>
  <si>
    <t>Developed by Edouard BAULT (FeedAccess) based on John Moran (DPI Tatura) initial version</t>
  </si>
  <si>
    <t>May 2016</t>
  </si>
  <si>
    <t>FAORationTool.xls</t>
  </si>
  <si>
    <t>4. Insert milk return in "MIFC"</t>
  </si>
  <si>
    <t>5. Milk income less feed costs are calculated in "MIFC"</t>
  </si>
  <si>
    <t>Ca req %</t>
  </si>
  <si>
    <t>P req %</t>
  </si>
  <si>
    <t>Ca (%)</t>
  </si>
  <si>
    <t>P (%)</t>
  </si>
  <si>
    <t>% DM</t>
  </si>
  <si>
    <t>Max (kg/d)</t>
  </si>
  <si>
    <t>Unit price (/kg)</t>
  </si>
  <si>
    <t>Concentrate intake (Kg DM/d)</t>
  </si>
  <si>
    <t>Milk fat (%)</t>
  </si>
  <si>
    <t>Milk protein (%)</t>
  </si>
  <si>
    <t>Live weight
(kg)</t>
  </si>
  <si>
    <t>Live weight gain/loss
(kg/d)</t>
  </si>
  <si>
    <t>% Live weight</t>
  </si>
  <si>
    <t>FAO FEED DATABASE</t>
  </si>
  <si>
    <t xml:space="preserve">  </t>
  </si>
  <si>
    <t>your currency/kg</t>
  </si>
  <si>
    <t>your currency/kg DM</t>
  </si>
  <si>
    <t>Milk return
(your currency/kg)</t>
  </si>
  <si>
    <t>Milk return
(your currency/d)</t>
  </si>
  <si>
    <t xml:space="preserve">MIFC (your currency/d) </t>
  </si>
  <si>
    <t>Max energy</t>
  </si>
  <si>
    <t>Live weight gain/loss (kg/d)</t>
  </si>
  <si>
    <t xml:space="preserve"> </t>
  </si>
  <si>
    <t>Non concentrate intake intake</t>
  </si>
  <si>
    <t>Date</t>
  </si>
  <si>
    <t>Needs</t>
  </si>
  <si>
    <t>Ration nutritional analysis</t>
  </si>
  <si>
    <t>Composition of the ration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</si>
  <si>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</si>
  <si>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</si>
  <si>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</si>
  <si>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</si>
  <si>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</si>
  <si>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</si>
  <si>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</si>
  <si>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</si>
  <si>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Concentrate</t>
  </si>
  <si>
    <t>Dry matter (kg/d)</t>
  </si>
  <si>
    <t>Feed cost (your currency/d)</t>
  </si>
  <si>
    <t>Technician</t>
  </si>
  <si>
    <t>Farmer</t>
  </si>
  <si>
    <t>Cow</t>
  </si>
  <si>
    <t>If you have any question please contact your technician :</t>
  </si>
  <si>
    <t>Cow characteristics</t>
  </si>
  <si>
    <t>Dorb</t>
  </si>
  <si>
    <t>Silage maize</t>
  </si>
  <si>
    <t>Cotton seed</t>
  </si>
  <si>
    <t>Soya doc</t>
  </si>
  <si>
    <t>Musturd  cake</t>
  </si>
  <si>
    <t>Rice polish</t>
  </si>
  <si>
    <t>Musturd doc</t>
  </si>
  <si>
    <t>Wheat bran</t>
  </si>
  <si>
    <t>Wheat straw</t>
  </si>
  <si>
    <t>Mung churi</t>
  </si>
  <si>
    <t>Cotton cake</t>
  </si>
  <si>
    <t>snf</t>
  </si>
  <si>
    <t>Guar korma</t>
  </si>
  <si>
    <t>\</t>
  </si>
  <si>
    <t>Urea</t>
  </si>
  <si>
    <t xml:space="preserve">TOTAL </t>
  </si>
  <si>
    <t>Feed  Protien Energy Ratio</t>
  </si>
  <si>
    <t>MILKING</t>
  </si>
  <si>
    <t>Chana churi/ soya chilka</t>
  </si>
  <si>
    <t>Makka khal</t>
  </si>
  <si>
    <t>cattle feed</t>
  </si>
  <si>
    <t>Green fodder(maize)</t>
  </si>
  <si>
    <t>wheat</t>
  </si>
  <si>
    <t>green fodder(barseem)</t>
  </si>
  <si>
    <t>ground nut cake</t>
  </si>
  <si>
    <t>Barley</t>
  </si>
  <si>
    <t>Rice broken</t>
  </si>
  <si>
    <t>Mineral mixture</t>
  </si>
  <si>
    <t>Bypass fat</t>
  </si>
  <si>
    <t xml:space="preserve">MILK LOSS </t>
  </si>
  <si>
    <t>NUMBER OF ANIMAL</t>
  </si>
  <si>
    <t>Milk return (Rs./kg)</t>
  </si>
  <si>
    <t>Milk return (Rs./d)</t>
  </si>
  <si>
    <t>Feed cost (Rs/d)</t>
  </si>
  <si>
    <t xml:space="preserve">MIFC ROI (Rs/d) </t>
  </si>
  <si>
    <t>Rs./MJ of ME</t>
  </si>
  <si>
    <t>Rs./kg CP</t>
  </si>
  <si>
    <t>Rs./kg NDF</t>
  </si>
  <si>
    <t>Rs./kg Ca</t>
  </si>
  <si>
    <t>Rs./kg P</t>
  </si>
  <si>
    <t>17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</si>
</sst>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0.0"/>
    <numFmt numFmtId="166" formatCode="_-* #,##0_-;\-* #,##0_-;_-* &quot;-&quot;??_-;_-@_-"/>
    <numFmt numFmtId="167" formatCode="0.0%"/>
    <numFmt numFmtId="168" formatCode="#,##0_ ;\-#,##0\ "/>
  </numFmts>
  <fonts count="1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Small Fonts"/>
      <family val="2"/>
    </font>
    <font>
      <b/>
      <sz val="12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sz val="12"/>
      <name val="Arial"/>
      <family val="2"/>
    </font>
    <font>
      <i/>
      <sz val="12"/>
      <name val="Arial"/>
      <family val="2"/>
    </font>
    <font>
      <b/>
      <sz val="26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25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Font="1" applyFill="1" applyBorder="1" applyAlignment="1">
      <alignment horizontal="center" vertical="center" wrapText="1"/>
    </xf>
    <xf numFmtId="0" fontId="6" fillId="0" borderId="0" xfId="3" quotePrefix="1" applyFont="1" applyFill="1" applyBorder="1" applyAlignment="1">
      <alignment horizontal="right" vertical="center"/>
    </xf>
    <xf numFmtId="0" fontId="6" fillId="0" borderId="0" xfId="3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8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165" fontId="9" fillId="0" borderId="0" xfId="2" applyNumberFormat="1" applyFont="1" applyFill="1" applyBorder="1" applyAlignment="1">
      <alignment wrapText="1"/>
    </xf>
    <xf numFmtId="165" fontId="9" fillId="0" borderId="17" xfId="2" applyNumberFormat="1" applyFont="1" applyFill="1" applyBorder="1"/>
    <xf numFmtId="165" fontId="9" fillId="0" borderId="18" xfId="2" applyNumberFormat="1" applyFont="1" applyFill="1" applyBorder="1"/>
    <xf numFmtId="165" fontId="9" fillId="0" borderId="19" xfId="2" applyNumberFormat="1" applyFont="1" applyFill="1" applyBorder="1"/>
    <xf numFmtId="165" fontId="9" fillId="0" borderId="20" xfId="2" applyNumberFormat="1" applyFont="1" applyFill="1" applyBorder="1"/>
    <xf numFmtId="165" fontId="9" fillId="0" borderId="21" xfId="2" applyNumberFormat="1" applyFont="1" applyFill="1" applyBorder="1"/>
    <xf numFmtId="165" fontId="9" fillId="0" borderId="22" xfId="2" applyNumberFormat="1" applyFont="1" applyFill="1" applyBorder="1"/>
    <xf numFmtId="2" fontId="6" fillId="0" borderId="23" xfId="2" applyNumberFormat="1" applyFont="1" applyFill="1" applyBorder="1"/>
    <xf numFmtId="2" fontId="6" fillId="0" borderId="24" xfId="2" applyNumberFormat="1" applyFont="1" applyFill="1" applyBorder="1"/>
    <xf numFmtId="2" fontId="6" fillId="0" borderId="25" xfId="2" applyNumberFormat="1" applyFont="1" applyFill="1" applyBorder="1"/>
    <xf numFmtId="2" fontId="6" fillId="0" borderId="26" xfId="2" applyNumberFormat="1" applyFont="1" applyFill="1" applyBorder="1"/>
    <xf numFmtId="2" fontId="6" fillId="0" borderId="27" xfId="2" applyNumberFormat="1" applyFont="1" applyFill="1" applyBorder="1"/>
    <xf numFmtId="2" fontId="6" fillId="0" borderId="28" xfId="2" applyNumberFormat="1" applyFont="1" applyFill="1" applyBorder="1"/>
    <xf numFmtId="2" fontId="6" fillId="0" borderId="29" xfId="2" applyNumberFormat="1" applyFont="1" applyFill="1" applyBorder="1"/>
    <xf numFmtId="2" fontId="6" fillId="0" borderId="30" xfId="2" applyNumberFormat="1" applyFont="1" applyFill="1" applyBorder="1"/>
    <xf numFmtId="2" fontId="6" fillId="0" borderId="31" xfId="2" applyNumberFormat="1" applyFont="1" applyFill="1" applyBorder="1"/>
    <xf numFmtId="0" fontId="6" fillId="0" borderId="0" xfId="2" applyFont="1" applyFill="1" applyAlignment="1" applyProtection="1">
      <alignment horizontal="center" vertical="center"/>
    </xf>
    <xf numFmtId="0" fontId="9" fillId="0" borderId="0" xfId="2" applyFont="1" applyFill="1" applyAlignment="1" applyProtection="1">
      <alignment horizontal="center" vertical="center" wrapText="1"/>
    </xf>
    <xf numFmtId="165" fontId="9" fillId="0" borderId="0" xfId="2" applyNumberFormat="1" applyFont="1" applyFill="1" applyBorder="1" applyAlignment="1" applyProtection="1">
      <alignment horizontal="center" vertical="center"/>
    </xf>
    <xf numFmtId="0" fontId="6" fillId="0" borderId="0" xfId="2" applyFont="1" applyFill="1" applyBorder="1" applyAlignment="1" applyProtection="1">
      <alignment horizontal="center" vertical="center"/>
    </xf>
    <xf numFmtId="2" fontId="6" fillId="0" borderId="0" xfId="2" applyNumberFormat="1" applyFont="1" applyFill="1" applyBorder="1" applyAlignment="1" applyProtection="1">
      <alignment horizontal="center" vertical="center"/>
    </xf>
    <xf numFmtId="0" fontId="6" fillId="2" borderId="8" xfId="2" applyFont="1" applyFill="1" applyBorder="1" applyAlignment="1" applyProtection="1">
      <alignment horizontal="right" vertical="center"/>
    </xf>
    <xf numFmtId="0" fontId="6" fillId="2" borderId="10" xfId="2" applyFont="1" applyFill="1" applyBorder="1" applyAlignment="1" applyProtection="1">
      <alignment horizontal="right" vertical="center"/>
    </xf>
    <xf numFmtId="0" fontId="6" fillId="2" borderId="32" xfId="2" applyFont="1" applyFill="1" applyBorder="1" applyAlignment="1" applyProtection="1">
      <alignment horizontal="right" vertical="center"/>
    </xf>
    <xf numFmtId="0" fontId="6" fillId="2" borderId="33" xfId="2" applyFont="1" applyFill="1" applyBorder="1" applyAlignment="1" applyProtection="1">
      <alignment horizontal="right" vertical="center"/>
    </xf>
    <xf numFmtId="0" fontId="6" fillId="2" borderId="34" xfId="2" applyFont="1" applyFill="1" applyBorder="1" applyAlignment="1" applyProtection="1">
      <alignment horizontal="right" vertical="center"/>
    </xf>
    <xf numFmtId="0" fontId="6" fillId="2" borderId="35" xfId="2" applyFont="1" applyFill="1" applyBorder="1" applyAlignment="1" applyProtection="1">
      <alignment horizontal="right" vertical="center"/>
    </xf>
    <xf numFmtId="0" fontId="6" fillId="2" borderId="36" xfId="2" applyFont="1" applyFill="1" applyBorder="1" applyAlignment="1" applyProtection="1">
      <alignment horizontal="right" vertical="center"/>
    </xf>
    <xf numFmtId="0" fontId="6" fillId="2" borderId="37" xfId="2" applyFont="1" applyFill="1" applyBorder="1" applyAlignment="1" applyProtection="1">
      <alignment horizontal="right" vertical="center"/>
    </xf>
    <xf numFmtId="0" fontId="6" fillId="2" borderId="8" xfId="2" applyFont="1" applyFill="1" applyBorder="1" applyAlignment="1" applyProtection="1">
      <alignment horizontal="right" vertical="center" wrapText="1"/>
    </xf>
    <xf numFmtId="0" fontId="6" fillId="2" borderId="10" xfId="2" applyFont="1" applyFill="1" applyBorder="1" applyAlignment="1" applyProtection="1">
      <alignment horizontal="right" vertical="center" wrapText="1"/>
    </xf>
    <xf numFmtId="0" fontId="6" fillId="0" borderId="0" xfId="2" applyFont="1" applyFill="1" applyAlignment="1" applyProtection="1">
      <alignment horizontal="center" vertical="center" wrapText="1"/>
    </xf>
    <xf numFmtId="0" fontId="9" fillId="0" borderId="4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 wrapText="1"/>
    </xf>
    <xf numFmtId="0" fontId="6" fillId="0" borderId="9" xfId="2" applyFont="1" applyFill="1" applyBorder="1" applyAlignment="1" applyProtection="1">
      <alignment horizontal="center" vertical="center"/>
    </xf>
    <xf numFmtId="165" fontId="6" fillId="0" borderId="0" xfId="2" applyNumberFormat="1" applyFont="1" applyFill="1" applyBorder="1" applyAlignment="1" applyProtection="1">
      <alignment horizontal="center" vertical="center"/>
    </xf>
    <xf numFmtId="1" fontId="6" fillId="0" borderId="0" xfId="2" applyNumberFormat="1" applyFont="1" applyFill="1" applyBorder="1" applyAlignment="1" applyProtection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3" borderId="38" xfId="2" applyNumberFormat="1" applyFont="1" applyFill="1" applyBorder="1" applyAlignment="1" applyProtection="1">
      <alignment horizontal="center" vertical="center"/>
      <protection locked="0"/>
    </xf>
    <xf numFmtId="165" fontId="6" fillId="3" borderId="39" xfId="2" applyNumberFormat="1" applyFont="1" applyFill="1" applyBorder="1" applyAlignment="1" applyProtection="1">
      <alignment horizontal="center" vertical="center"/>
      <protection locked="0"/>
    </xf>
    <xf numFmtId="0" fontId="6" fillId="0" borderId="0" xfId="3" applyFont="1" applyFill="1" applyAlignment="1">
      <alignment vertical="center"/>
    </xf>
    <xf numFmtId="0" fontId="6" fillId="0" borderId="0" xfId="3" applyFont="1" applyFill="1" applyAlignment="1">
      <alignment horizontal="center" vertical="center"/>
    </xf>
    <xf numFmtId="0" fontId="6" fillId="0" borderId="40" xfId="3" applyFont="1" applyFill="1" applyBorder="1" applyAlignment="1">
      <alignment horizontal="center" vertical="center"/>
    </xf>
    <xf numFmtId="0" fontId="6" fillId="0" borderId="0" xfId="3" applyFont="1" applyFill="1" applyBorder="1" applyAlignment="1">
      <alignment horizontal="left" vertical="center"/>
    </xf>
    <xf numFmtId="0" fontId="6" fillId="0" borderId="9" xfId="3" applyFont="1" applyFill="1" applyBorder="1" applyAlignment="1">
      <alignment horizontal="center" vertical="center"/>
    </xf>
    <xf numFmtId="0" fontId="6" fillId="0" borderId="0" xfId="3" applyFont="1" applyFill="1" applyAlignment="1">
      <alignment horizontal="left" vertical="center"/>
    </xf>
    <xf numFmtId="0" fontId="6" fillId="0" borderId="0" xfId="3" quotePrefix="1" applyFont="1" applyFill="1" applyBorder="1" applyAlignment="1">
      <alignment horizontal="left" vertical="center"/>
    </xf>
    <xf numFmtId="0" fontId="9" fillId="0" borderId="0" xfId="3" applyFont="1" applyFill="1" applyAlignment="1">
      <alignment horizontal="right" vertical="center"/>
    </xf>
    <xf numFmtId="0" fontId="9" fillId="0" borderId="0" xfId="3" applyFont="1" applyFill="1" applyAlignment="1">
      <alignment vertical="center"/>
    </xf>
    <xf numFmtId="0" fontId="6" fillId="0" borderId="41" xfId="3" applyFont="1" applyFill="1" applyBorder="1" applyAlignment="1">
      <alignment vertical="center"/>
    </xf>
    <xf numFmtId="165" fontId="10" fillId="4" borderId="9" xfId="2" applyNumberFormat="1" applyFont="1" applyFill="1" applyBorder="1" applyAlignment="1" applyProtection="1">
      <alignment horizontal="center" vertical="center"/>
    </xf>
    <xf numFmtId="9" fontId="10" fillId="4" borderId="9" xfId="2" applyNumberFormat="1" applyFont="1" applyFill="1" applyBorder="1" applyAlignment="1" applyProtection="1">
      <alignment horizontal="center" vertical="center"/>
    </xf>
    <xf numFmtId="0" fontId="6" fillId="3" borderId="40" xfId="3" applyFont="1" applyFill="1" applyBorder="1" applyAlignment="1" applyProtection="1">
      <alignment vertical="center"/>
      <protection locked="0"/>
    </xf>
    <xf numFmtId="0" fontId="6" fillId="3" borderId="9" xfId="3" applyFont="1" applyFill="1" applyBorder="1" applyAlignment="1" applyProtection="1">
      <alignment vertical="center"/>
      <protection locked="0"/>
    </xf>
    <xf numFmtId="0" fontId="9" fillId="0" borderId="0" xfId="3" applyFont="1" applyFill="1" applyAlignment="1">
      <alignment horizontal="center" vertical="center" wrapText="1"/>
    </xf>
    <xf numFmtId="0" fontId="6" fillId="0" borderId="42" xfId="3" applyFont="1" applyFill="1" applyBorder="1" applyAlignment="1">
      <alignment vertical="center"/>
    </xf>
    <xf numFmtId="0" fontId="6" fillId="0" borderId="42" xfId="3" applyFont="1" applyFill="1" applyBorder="1" applyAlignment="1">
      <alignment horizontal="center" vertical="center"/>
    </xf>
    <xf numFmtId="0" fontId="6" fillId="0" borderId="10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vertical="center" wrapText="1"/>
    </xf>
    <xf numFmtId="166" fontId="6" fillId="3" borderId="12" xfId="1" applyNumberFormat="1" applyFont="1" applyFill="1" applyBorder="1" applyAlignment="1">
      <alignment horizontal="center" vertical="center"/>
    </xf>
    <xf numFmtId="166" fontId="6" fillId="3" borderId="14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168" fontId="11" fillId="4" borderId="9" xfId="0" applyNumberFormat="1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168" fontId="11" fillId="3" borderId="9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43" xfId="0" applyFont="1" applyBorder="1" applyAlignment="1">
      <alignment horizontal="center" vertical="center" wrapText="1"/>
    </xf>
    <xf numFmtId="0" fontId="2" fillId="0" borderId="43" xfId="0" quotePrefix="1" applyFont="1" applyBorder="1" applyAlignment="1">
      <alignment horizontal="center" vertical="center" wrapText="1"/>
    </xf>
    <xf numFmtId="165" fontId="10" fillId="4" borderId="9" xfId="3" applyNumberFormat="1" applyFont="1" applyFill="1" applyBorder="1" applyAlignment="1">
      <alignment horizontal="center" vertical="center"/>
    </xf>
    <xf numFmtId="165" fontId="6" fillId="3" borderId="40" xfId="3" applyNumberFormat="1" applyFont="1" applyFill="1" applyBorder="1" applyAlignment="1" applyProtection="1">
      <alignment horizontal="center" vertical="center"/>
      <protection locked="0"/>
    </xf>
    <xf numFmtId="165" fontId="6" fillId="3" borderId="9" xfId="3" applyNumberFormat="1" applyFont="1" applyFill="1" applyBorder="1" applyAlignment="1" applyProtection="1">
      <alignment horizontal="center" vertical="center"/>
      <protection locked="0"/>
    </xf>
    <xf numFmtId="167" fontId="10" fillId="4" borderId="9" xfId="4" applyNumberFormat="1" applyFont="1" applyFill="1" applyBorder="1" applyAlignment="1">
      <alignment horizontal="center" vertical="center"/>
    </xf>
    <xf numFmtId="165" fontId="6" fillId="3" borderId="44" xfId="2" applyNumberFormat="1" applyFont="1" applyFill="1" applyBorder="1" applyAlignment="1" applyProtection="1">
      <alignment horizontal="center" vertical="center"/>
      <protection locked="0"/>
    </xf>
    <xf numFmtId="165" fontId="11" fillId="4" borderId="9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0" borderId="0" xfId="0" applyFont="1"/>
    <xf numFmtId="0" fontId="3" fillId="0" borderId="0" xfId="0" applyFont="1"/>
    <xf numFmtId="0" fontId="0" fillId="5" borderId="0" xfId="0" applyFill="1"/>
    <xf numFmtId="0" fontId="12" fillId="5" borderId="0" xfId="0" applyFont="1" applyFill="1"/>
    <xf numFmtId="0" fontId="12" fillId="6" borderId="0" xfId="0" applyFont="1" applyFill="1"/>
    <xf numFmtId="17" fontId="3" fillId="0" borderId="0" xfId="0" quotePrefix="1" applyNumberFormat="1" applyFont="1"/>
    <xf numFmtId="165" fontId="6" fillId="4" borderId="28" xfId="1" applyNumberFormat="1" applyFont="1" applyFill="1" applyBorder="1" applyAlignment="1">
      <alignment horizontal="center" vertical="center"/>
    </xf>
    <xf numFmtId="2" fontId="6" fillId="4" borderId="28" xfId="1" applyNumberFormat="1" applyFont="1" applyFill="1" applyBorder="1" applyAlignment="1">
      <alignment horizontal="center" vertical="center"/>
    </xf>
    <xf numFmtId="0" fontId="5" fillId="0" borderId="0" xfId="3" applyFont="1" applyFill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166" fontId="6" fillId="3" borderId="45" xfId="1" applyNumberFormat="1" applyFont="1" applyFill="1" applyBorder="1" applyAlignment="1">
      <alignment horizontal="center" vertical="center"/>
    </xf>
    <xf numFmtId="2" fontId="6" fillId="3" borderId="47" xfId="1" applyNumberFormat="1" applyFont="1" applyFill="1" applyBorder="1" applyAlignment="1">
      <alignment horizontal="center" vertical="center"/>
    </xf>
    <xf numFmtId="2" fontId="6" fillId="3" borderId="38" xfId="1" applyNumberFormat="1" applyFont="1" applyFill="1" applyBorder="1" applyAlignment="1">
      <alignment horizontal="center" vertical="center"/>
    </xf>
    <xf numFmtId="2" fontId="6" fillId="3" borderId="39" xfId="1" applyNumberFormat="1" applyFont="1" applyFill="1" applyBorder="1" applyAlignment="1">
      <alignment horizontal="center" vertical="center"/>
    </xf>
    <xf numFmtId="2" fontId="6" fillId="3" borderId="48" xfId="1" applyNumberFormat="1" applyFont="1" applyFill="1" applyBorder="1" applyAlignment="1">
      <alignment horizontal="center" vertical="center"/>
    </xf>
    <xf numFmtId="164" fontId="6" fillId="3" borderId="14" xfId="1" applyNumberFormat="1" applyFont="1" applyFill="1" applyBorder="1" applyAlignment="1">
      <alignment horizontal="center" vertical="center"/>
    </xf>
    <xf numFmtId="10" fontId="10" fillId="4" borderId="9" xfId="4" applyNumberFormat="1" applyFont="1" applyFill="1" applyBorder="1" applyAlignment="1">
      <alignment horizontal="center" vertical="center"/>
    </xf>
    <xf numFmtId="166" fontId="6" fillId="3" borderId="47" xfId="1" applyNumberFormat="1" applyFont="1" applyFill="1" applyBorder="1" applyAlignment="1">
      <alignment horizontal="center" vertical="center"/>
    </xf>
    <xf numFmtId="166" fontId="6" fillId="3" borderId="38" xfId="1" applyNumberFormat="1" applyFont="1" applyFill="1" applyBorder="1" applyAlignment="1">
      <alignment horizontal="center" vertical="center"/>
    </xf>
    <xf numFmtId="166" fontId="6" fillId="3" borderId="39" xfId="1" applyNumberFormat="1" applyFont="1" applyFill="1" applyBorder="1" applyAlignment="1">
      <alignment horizontal="center" vertical="center"/>
    </xf>
    <xf numFmtId="166" fontId="6" fillId="3" borderId="48" xfId="1" applyNumberFormat="1" applyFont="1" applyFill="1" applyBorder="1" applyAlignment="1">
      <alignment horizontal="center" vertical="center"/>
    </xf>
    <xf numFmtId="165" fontId="6" fillId="7" borderId="9" xfId="2" applyNumberFormat="1" applyFont="1" applyFill="1" applyBorder="1" applyAlignment="1" applyProtection="1">
      <alignment horizontal="center" vertical="center"/>
    </xf>
    <xf numFmtId="0" fontId="9" fillId="8" borderId="9" xfId="2" applyFont="1" applyFill="1" applyBorder="1" applyAlignment="1" applyProtection="1">
      <alignment horizontal="center" vertical="center" wrapText="1"/>
    </xf>
    <xf numFmtId="0" fontId="2" fillId="8" borderId="9" xfId="2" applyFont="1" applyFill="1" applyBorder="1" applyAlignment="1" applyProtection="1">
      <alignment horizontal="center" vertical="center" wrapText="1"/>
    </xf>
    <xf numFmtId="0" fontId="6" fillId="8" borderId="9" xfId="2" applyFont="1" applyFill="1" applyBorder="1" applyAlignment="1" applyProtection="1">
      <alignment horizontal="center" vertical="center"/>
    </xf>
    <xf numFmtId="165" fontId="9" fillId="8" borderId="9" xfId="2" applyNumberFormat="1" applyFont="1" applyFill="1" applyBorder="1" applyAlignment="1" applyProtection="1">
      <alignment horizontal="center" vertical="center" wrapText="1"/>
    </xf>
    <xf numFmtId="0" fontId="6" fillId="8" borderId="9" xfId="2" applyNumberFormat="1" applyFont="1" applyFill="1" applyBorder="1" applyAlignment="1" applyProtection="1">
      <alignment horizontal="center" vertical="center"/>
    </xf>
    <xf numFmtId="165" fontId="9" fillId="8" borderId="9" xfId="2" applyNumberFormat="1" applyFont="1" applyFill="1" applyBorder="1" applyAlignment="1" applyProtection="1">
      <alignment horizontal="center" vertical="center"/>
    </xf>
    <xf numFmtId="0" fontId="9" fillId="8" borderId="8" xfId="2" applyFont="1" applyFill="1" applyBorder="1" applyAlignment="1" applyProtection="1">
      <alignment horizontal="center" vertical="center" wrapText="1"/>
    </xf>
    <xf numFmtId="165" fontId="9" fillId="8" borderId="8" xfId="2" applyNumberFormat="1" applyFont="1" applyFill="1" applyBorder="1" applyAlignment="1" applyProtection="1">
      <alignment horizontal="center" vertical="center"/>
    </xf>
    <xf numFmtId="0" fontId="6" fillId="8" borderId="9" xfId="2" applyFont="1" applyFill="1" applyBorder="1" applyAlignment="1" applyProtection="1">
      <alignment horizontal="center" vertical="center" wrapText="1"/>
    </xf>
    <xf numFmtId="9" fontId="6" fillId="8" borderId="9" xfId="4" applyFont="1" applyFill="1" applyBorder="1" applyAlignment="1" applyProtection="1">
      <alignment horizontal="center" vertical="center"/>
    </xf>
    <xf numFmtId="0" fontId="6" fillId="7" borderId="9" xfId="2" applyFont="1" applyFill="1" applyBorder="1" applyAlignment="1" applyProtection="1">
      <alignment horizontal="center" vertical="center"/>
    </xf>
    <xf numFmtId="16" fontId="6" fillId="7" borderId="9" xfId="2" applyNumberFormat="1" applyFont="1" applyFill="1" applyBorder="1" applyAlignment="1" applyProtection="1">
      <alignment horizontal="center" vertical="center"/>
    </xf>
    <xf numFmtId="2" fontId="6" fillId="7" borderId="9" xfId="3" applyNumberFormat="1" applyFont="1" applyFill="1" applyBorder="1" applyAlignment="1">
      <alignment horizontal="center" vertical="center"/>
    </xf>
    <xf numFmtId="2" fontId="6" fillId="7" borderId="40" xfId="3" applyNumberFormat="1" applyFont="1" applyFill="1" applyBorder="1" applyAlignment="1">
      <alignment horizontal="center" vertical="center"/>
    </xf>
    <xf numFmtId="0" fontId="9" fillId="9" borderId="2" xfId="3" applyFont="1" applyFill="1" applyBorder="1" applyAlignment="1">
      <alignment horizontal="center" vertical="center" wrapText="1"/>
    </xf>
    <xf numFmtId="0" fontId="9" fillId="9" borderId="1" xfId="3" applyFont="1" applyFill="1" applyBorder="1" applyAlignment="1">
      <alignment horizontal="center" vertical="center" wrapText="1"/>
    </xf>
    <xf numFmtId="0" fontId="6" fillId="7" borderId="42" xfId="3" applyFont="1" applyFill="1" applyBorder="1" applyAlignment="1">
      <alignment horizontal="center" vertical="center"/>
    </xf>
    <xf numFmtId="167" fontId="6" fillId="7" borderId="42" xfId="4" applyNumberFormat="1" applyFont="1" applyFill="1" applyBorder="1" applyAlignment="1">
      <alignment horizontal="center" vertical="center"/>
    </xf>
    <xf numFmtId="0" fontId="6" fillId="7" borderId="0" xfId="3" applyFont="1" applyFill="1" applyAlignment="1">
      <alignment vertical="center"/>
    </xf>
    <xf numFmtId="0" fontId="6" fillId="7" borderId="0" xfId="3" applyFont="1" applyFill="1" applyBorder="1" applyAlignment="1">
      <alignment vertical="center"/>
    </xf>
    <xf numFmtId="2" fontId="6" fillId="7" borderId="0" xfId="3" applyNumberFormat="1" applyFont="1" applyFill="1" applyBorder="1" applyAlignment="1">
      <alignment vertical="center"/>
    </xf>
    <xf numFmtId="9" fontId="6" fillId="7" borderId="0" xfId="3" applyNumberFormat="1" applyFont="1" applyFill="1" applyBorder="1" applyAlignment="1">
      <alignment vertical="center"/>
    </xf>
    <xf numFmtId="9" fontId="10" fillId="8" borderId="9" xfId="2" applyNumberFormat="1" applyFont="1" applyFill="1" applyBorder="1" applyAlignment="1" applyProtection="1">
      <alignment horizontal="center" vertical="center"/>
    </xf>
    <xf numFmtId="10" fontId="6" fillId="8" borderId="9" xfId="4" applyNumberFormat="1" applyFont="1" applyFill="1" applyBorder="1" applyAlignment="1" applyProtection="1">
      <alignment horizontal="center" vertical="center"/>
    </xf>
    <xf numFmtId="164" fontId="6" fillId="3" borderId="45" xfId="1" applyNumberFormat="1" applyFont="1" applyFill="1" applyBorder="1" applyAlignment="1">
      <alignment horizontal="center" vertical="center"/>
    </xf>
    <xf numFmtId="164" fontId="6" fillId="3" borderId="16" xfId="1" applyNumberFormat="1" applyFont="1" applyFill="1" applyBorder="1" applyAlignment="1">
      <alignment horizontal="center" vertical="center"/>
    </xf>
    <xf numFmtId="2" fontId="13" fillId="8" borderId="9" xfId="2" applyNumberFormat="1" applyFont="1" applyFill="1" applyBorder="1" applyAlignment="1" applyProtection="1">
      <alignment horizontal="center" vertical="center"/>
    </xf>
    <xf numFmtId="2" fontId="6" fillId="8" borderId="9" xfId="2" applyNumberFormat="1" applyFont="1" applyFill="1" applyBorder="1" applyAlignment="1" applyProtection="1">
      <alignment horizontal="center" vertical="center"/>
    </xf>
    <xf numFmtId="1" fontId="6" fillId="3" borderId="9" xfId="2" applyNumberFormat="1" applyFont="1" applyFill="1" applyBorder="1" applyAlignment="1" applyProtection="1">
      <alignment horizontal="center" vertical="center"/>
      <protection locked="0"/>
    </xf>
    <xf numFmtId="10" fontId="10" fillId="4" borderId="9" xfId="4" applyNumberFormat="1" applyFont="1" applyFill="1" applyBorder="1" applyAlignment="1" applyProtection="1">
      <alignment horizontal="center" vertical="center"/>
    </xf>
    <xf numFmtId="2" fontId="6" fillId="7" borderId="0" xfId="4" applyNumberFormat="1" applyFont="1" applyFill="1" applyBorder="1" applyAlignment="1">
      <alignment horizontal="center" vertical="center"/>
    </xf>
    <xf numFmtId="9" fontId="6" fillId="7" borderId="0" xfId="4" applyFont="1" applyFill="1" applyBorder="1" applyAlignment="1">
      <alignment vertical="center"/>
    </xf>
    <xf numFmtId="0" fontId="6" fillId="9" borderId="0" xfId="3" applyFont="1" applyFill="1" applyAlignment="1">
      <alignment vertical="center" wrapText="1"/>
    </xf>
    <xf numFmtId="2" fontId="6" fillId="0" borderId="0" xfId="3" applyNumberFormat="1" applyFont="1" applyFill="1" applyBorder="1" applyAlignment="1">
      <alignment vertical="center"/>
    </xf>
    <xf numFmtId="9" fontId="6" fillId="0" borderId="0" xfId="3" applyNumberFormat="1" applyFont="1" applyFill="1" applyBorder="1" applyAlignment="1">
      <alignment vertical="center"/>
    </xf>
    <xf numFmtId="49" fontId="10" fillId="4" borderId="9" xfId="4" applyNumberFormat="1" applyFont="1" applyFill="1" applyBorder="1" applyAlignment="1" applyProtection="1">
      <alignment horizontal="center" vertical="center"/>
    </xf>
    <xf numFmtId="0" fontId="6" fillId="0" borderId="0" xfId="3" applyFont="1" applyFill="1" applyBorder="1" applyAlignment="1">
      <alignment horizontal="center" vertical="center"/>
    </xf>
    <xf numFmtId="0" fontId="6" fillId="3" borderId="0" xfId="3" applyFont="1" applyFill="1" applyBorder="1" applyAlignment="1" applyProtection="1">
      <alignment vertical="center"/>
      <protection locked="0"/>
    </xf>
    <xf numFmtId="165" fontId="6" fillId="3" borderId="0" xfId="3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/>
    <xf numFmtId="0" fontId="9" fillId="0" borderId="53" xfId="0" applyFont="1" applyBorder="1" applyAlignment="1">
      <alignment horizontal="left" vertical="center"/>
    </xf>
    <xf numFmtId="2" fontId="6" fillId="3" borderId="54" xfId="1" applyNumberFormat="1" applyFont="1" applyFill="1" applyBorder="1" applyAlignment="1">
      <alignment horizontal="center" vertical="center"/>
    </xf>
    <xf numFmtId="166" fontId="6" fillId="3" borderId="52" xfId="1" applyNumberFormat="1" applyFont="1" applyFill="1" applyBorder="1" applyAlignment="1">
      <alignment horizontal="center" vertical="center"/>
    </xf>
    <xf numFmtId="165" fontId="6" fillId="4" borderId="55" xfId="1" applyNumberFormat="1" applyFont="1" applyFill="1" applyBorder="1" applyAlignment="1">
      <alignment horizontal="center" vertical="center"/>
    </xf>
    <xf numFmtId="2" fontId="6" fillId="4" borderId="55" xfId="1" applyNumberFormat="1" applyFont="1" applyFill="1" applyBorder="1" applyAlignment="1">
      <alignment horizontal="center" vertical="center"/>
    </xf>
    <xf numFmtId="164" fontId="6" fillId="3" borderId="52" xfId="1" applyNumberFormat="1" applyFont="1" applyFill="1" applyBorder="1" applyAlignment="1">
      <alignment horizontal="center" vertical="center"/>
    </xf>
    <xf numFmtId="166" fontId="6" fillId="3" borderId="54" xfId="1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10" borderId="9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1" fillId="10" borderId="2" xfId="0" applyFont="1" applyFill="1" applyBorder="1" applyAlignment="1">
      <alignment vertical="center"/>
    </xf>
    <xf numFmtId="2" fontId="6" fillId="10" borderId="9" xfId="0" applyNumberFormat="1" applyFont="1" applyFill="1" applyBorder="1" applyAlignment="1">
      <alignment horizontal="center" vertical="top"/>
    </xf>
    <xf numFmtId="2" fontId="6" fillId="10" borderId="2" xfId="0" applyNumberFormat="1" applyFont="1" applyFill="1" applyBorder="1" applyAlignment="1">
      <alignment horizontal="center" vertical="top"/>
    </xf>
    <xf numFmtId="165" fontId="10" fillId="11" borderId="9" xfId="0" applyNumberFormat="1" applyFont="1" applyFill="1" applyBorder="1" applyAlignment="1">
      <alignment horizontal="center" vertical="center"/>
    </xf>
    <xf numFmtId="49" fontId="10" fillId="11" borderId="9" xfId="0" applyNumberFormat="1" applyFont="1" applyFill="1" applyBorder="1" applyAlignment="1">
      <alignment horizontal="center" vertical="center"/>
    </xf>
    <xf numFmtId="9" fontId="10" fillId="11" borderId="9" xfId="0" applyNumberFormat="1" applyFont="1" applyFill="1" applyBorder="1" applyAlignment="1">
      <alignment horizontal="center" vertical="center"/>
    </xf>
    <xf numFmtId="2" fontId="10" fillId="11" borderId="9" xfId="0" applyNumberFormat="1" applyFont="1" applyFill="1" applyBorder="1" applyAlignment="1">
      <alignment horizontal="center" vertical="center"/>
    </xf>
    <xf numFmtId="2" fontId="10" fillId="12" borderId="9" xfId="0" applyNumberFormat="1" applyFont="1" applyFill="1" applyBorder="1" applyAlignment="1">
      <alignment horizontal="center" vertical="center"/>
    </xf>
    <xf numFmtId="165" fontId="10" fillId="12" borderId="9" xfId="0" applyNumberFormat="1" applyFont="1" applyFill="1" applyBorder="1" applyAlignment="1">
      <alignment horizontal="center" vertical="center"/>
    </xf>
    <xf numFmtId="167" fontId="10" fillId="12" borderId="9" xfId="0" applyNumberFormat="1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 wrapText="1"/>
    </xf>
    <xf numFmtId="0" fontId="15" fillId="13" borderId="0" xfId="0" applyFont="1" applyFill="1" applyAlignment="1">
      <alignment vertical="center" wrapText="1"/>
    </xf>
    <xf numFmtId="14" fontId="2" fillId="13" borderId="0" xfId="0" applyNumberFormat="1" applyFont="1" applyFill="1" applyAlignment="1">
      <alignment horizontal="left" vertical="center" wrapText="1"/>
    </xf>
    <xf numFmtId="0" fontId="2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vertical="center" wrapText="1"/>
    </xf>
    <xf numFmtId="1" fontId="2" fillId="13" borderId="9" xfId="0" applyNumberFormat="1" applyFont="1" applyFill="1" applyBorder="1" applyAlignment="1">
      <alignment vertical="center" wrapText="1"/>
    </xf>
    <xf numFmtId="2" fontId="2" fillId="13" borderId="9" xfId="0" applyNumberFormat="1" applyFont="1" applyFill="1" applyBorder="1" applyAlignment="1">
      <alignment vertical="center" wrapText="1"/>
    </xf>
    <xf numFmtId="0" fontId="2" fillId="13" borderId="9" xfId="0" quotePrefix="1" applyFont="1" applyFill="1" applyBorder="1" applyAlignment="1">
      <alignment vertical="center" wrapText="1"/>
    </xf>
    <xf numFmtId="9" fontId="2" fillId="13" borderId="9" xfId="0" applyNumberFormat="1" applyFont="1" applyFill="1" applyBorder="1" applyAlignment="1">
      <alignment vertical="center" wrapText="1"/>
    </xf>
    <xf numFmtId="10" fontId="2" fillId="13" borderId="9" xfId="0" applyNumberFormat="1" applyFont="1" applyFill="1" applyBorder="1" applyAlignment="1">
      <alignment vertical="center" wrapText="1"/>
    </xf>
    <xf numFmtId="0" fontId="2" fillId="13" borderId="9" xfId="0" applyNumberFormat="1" applyFont="1" applyFill="1" applyBorder="1" applyAlignment="1">
      <alignment vertical="center" wrapText="1"/>
    </xf>
    <xf numFmtId="0" fontId="2" fillId="13" borderId="9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41" xfId="0" applyFont="1" applyFill="1" applyBorder="1" applyAlignment="1">
      <alignment vertical="center" wrapText="1"/>
    </xf>
    <xf numFmtId="0" fontId="2" fillId="13" borderId="4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0" xfId="0" applyFont="1" applyFill="1" applyBorder="1" applyAlignment="1">
      <alignment vertical="center" wrapText="1"/>
    </xf>
    <xf numFmtId="0" fontId="2" fillId="13" borderId="7" xfId="0" applyFont="1" applyFill="1" applyBorder="1" applyAlignment="1">
      <alignment vertical="center" wrapText="1"/>
    </xf>
    <xf numFmtId="0" fontId="2" fillId="13" borderId="49" xfId="0" applyFont="1" applyFill="1" applyBorder="1" applyAlignment="1">
      <alignment vertical="center" wrapText="1"/>
    </xf>
    <xf numFmtId="0" fontId="2" fillId="13" borderId="50" xfId="0" applyFont="1" applyFill="1" applyBorder="1" applyAlignment="1">
      <alignment vertical="center" wrapText="1"/>
    </xf>
    <xf numFmtId="0" fontId="2" fillId="13" borderId="51" xfId="0" applyFont="1" applyFill="1" applyBorder="1" applyAlignment="1">
      <alignment vertical="center" wrapText="1"/>
    </xf>
    <xf numFmtId="0" fontId="2" fillId="13" borderId="0" xfId="0" applyFont="1" applyFill="1"/>
    <xf numFmtId="0" fontId="2" fillId="13" borderId="9" xfId="0" applyFont="1" applyFill="1" applyBorder="1"/>
    <xf numFmtId="168" fontId="11" fillId="11" borderId="9" xfId="1" applyNumberFormat="1" applyFont="1" applyFill="1" applyBorder="1" applyAlignment="1">
      <alignment horizontal="center" vertical="center"/>
    </xf>
    <xf numFmtId="0" fontId="0" fillId="9" borderId="0" xfId="0" applyFill="1"/>
    <xf numFmtId="165" fontId="10" fillId="4" borderId="5" xfId="3" applyNumberFormat="1" applyFont="1" applyFill="1" applyBorder="1" applyAlignment="1">
      <alignment horizontal="center" vertical="center"/>
    </xf>
    <xf numFmtId="164" fontId="6" fillId="3" borderId="12" xfId="1" applyNumberFormat="1" applyFont="1" applyFill="1" applyBorder="1" applyAlignment="1">
      <alignment horizontal="center" vertical="center"/>
    </xf>
    <xf numFmtId="0" fontId="17" fillId="0" borderId="0" xfId="2" applyFont="1" applyFill="1" applyAlignment="1" applyProtection="1">
      <alignment horizontal="center" vertical="center"/>
    </xf>
    <xf numFmtId="0" fontId="18" fillId="0" borderId="0" xfId="2" applyFont="1" applyFill="1" applyBorder="1" applyAlignment="1" applyProtection="1">
      <alignment horizontal="center" vertical="center" wrapText="1"/>
    </xf>
    <xf numFmtId="0" fontId="17" fillId="0" borderId="0" xfId="2" applyFont="1" applyFill="1" applyBorder="1" applyAlignment="1" applyProtection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7" borderId="44" xfId="2" applyNumberFormat="1" applyFont="1" applyFill="1" applyBorder="1" applyAlignment="1" applyProtection="1">
      <alignment horizontal="center" vertical="center"/>
    </xf>
    <xf numFmtId="165" fontId="6" fillId="7" borderId="38" xfId="2" applyNumberFormat="1" applyFont="1" applyFill="1" applyBorder="1" applyAlignment="1" applyProtection="1">
      <alignment horizontal="center" vertical="center"/>
    </xf>
    <xf numFmtId="165" fontId="6" fillId="7" borderId="39" xfId="2" applyNumberFormat="1" applyFont="1" applyFill="1" applyBorder="1" applyAlignment="1" applyProtection="1">
      <alignment horizontal="center" vertical="center"/>
    </xf>
    <xf numFmtId="0" fontId="5" fillId="0" borderId="0" xfId="2" applyFont="1" applyFill="1" applyAlignment="1" applyProtection="1">
      <alignment horizontal="center" vertical="center" wrapText="1"/>
      <protection locked="0"/>
    </xf>
    <xf numFmtId="0" fontId="5" fillId="0" borderId="0" xfId="2" applyFont="1" applyFill="1" applyAlignment="1" applyProtection="1">
      <alignment horizontal="center" vertical="center"/>
      <protection locked="0"/>
    </xf>
    <xf numFmtId="0" fontId="5" fillId="0" borderId="0" xfId="3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 textRotation="255"/>
    </xf>
    <xf numFmtId="0" fontId="9" fillId="0" borderId="0" xfId="0" applyFont="1" applyAlignment="1">
      <alignment horizontal="center"/>
    </xf>
    <xf numFmtId="0" fontId="14" fillId="13" borderId="0" xfId="0" applyFont="1" applyFill="1" applyAlignment="1">
      <alignment horizontal="center" vertical="center" wrapText="1"/>
    </xf>
    <xf numFmtId="0" fontId="2" fillId="13" borderId="8" xfId="0" applyFont="1" applyFill="1" applyBorder="1" applyAlignment="1">
      <alignment horizontal="left" vertical="center" wrapText="1"/>
    </xf>
    <xf numFmtId="0" fontId="2" fillId="13" borderId="10" xfId="0" applyFont="1" applyFill="1" applyBorder="1" applyAlignment="1">
      <alignment horizontal="left" vertical="center" wrapText="1"/>
    </xf>
    <xf numFmtId="0" fontId="2" fillId="13" borderId="9" xfId="0" applyFont="1" applyFill="1" applyBorder="1" applyAlignment="1">
      <alignment horizontal="left" vertical="center" wrapText="1"/>
    </xf>
    <xf numFmtId="0" fontId="16" fillId="13" borderId="0" xfId="0" applyFont="1" applyFill="1" applyAlignment="1">
      <alignment horizontal="center" wrapText="1"/>
    </xf>
    <xf numFmtId="0" fontId="16" fillId="13" borderId="50" xfId="0" applyFont="1" applyFill="1" applyBorder="1" applyAlignment="1">
      <alignment horizontal="center" wrapText="1"/>
    </xf>
    <xf numFmtId="0" fontId="15" fillId="13" borderId="0" xfId="0" applyFont="1" applyFill="1" applyAlignment="1">
      <alignment horizontal="left" vertical="center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10" xfId="0" applyFont="1" applyFill="1" applyBorder="1" applyAlignment="1">
      <alignment horizontal="left" vertical="top" wrapText="1"/>
    </xf>
  </cellXfs>
  <cellStyles count="5">
    <cellStyle name="Comma" xfId="1" builtinId="3"/>
    <cellStyle name="Normal" xfId="0" builtinId="0"/>
    <cellStyle name="Normal_Rat1-cowneeds" xfId="2"/>
    <cellStyle name="Normal_Rat2-inration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5B90C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1"/>
  <sheetViews>
    <sheetView zoomScaleNormal="75" workbookViewId="0">
      <selection activeCell="D2" sqref="D2"/>
    </sheetView>
  </sheetViews>
  <sheetFormatPr defaultColWidth="11.42578125" defaultRowHeight="12.75"/>
  <cols>
    <col min="1" max="256" width="9.140625" customWidth="1"/>
  </cols>
  <sheetData>
    <row r="1" spans="1:4" ht="15.75">
      <c r="A1" s="114" t="s">
        <v>75</v>
      </c>
    </row>
    <row r="2" spans="1:4" ht="15.75">
      <c r="A2" s="114" t="s">
        <v>116</v>
      </c>
    </row>
    <row r="3" spans="1:4">
      <c r="A3" s="115" t="s">
        <v>76</v>
      </c>
    </row>
    <row r="4" spans="1:4">
      <c r="A4" s="116" t="s">
        <v>114</v>
      </c>
    </row>
    <row r="5" spans="1:4">
      <c r="A5" s="120" t="s">
        <v>115</v>
      </c>
    </row>
    <row r="7" spans="1:4">
      <c r="A7" s="117" t="s">
        <v>73</v>
      </c>
      <c r="B7" s="117"/>
      <c r="C7" s="117"/>
      <c r="D7" s="117"/>
    </row>
    <row r="8" spans="1:4" ht="12.6" customHeight="1"/>
    <row r="9" spans="1:4" ht="12.6" customHeight="1">
      <c r="A9" s="115" t="s">
        <v>77</v>
      </c>
    </row>
    <row r="10" spans="1:4">
      <c r="A10" t="s">
        <v>78</v>
      </c>
    </row>
    <row r="11" spans="1:4">
      <c r="B11" t="s">
        <v>83</v>
      </c>
    </row>
    <row r="12" spans="1:4">
      <c r="B12" t="s">
        <v>81</v>
      </c>
    </row>
    <row r="13" spans="1:4">
      <c r="B13" s="116" t="s">
        <v>82</v>
      </c>
    </row>
    <row r="14" spans="1:4">
      <c r="B14" t="s">
        <v>84</v>
      </c>
    </row>
    <row r="15" spans="1:4">
      <c r="A15" t="s">
        <v>88</v>
      </c>
    </row>
    <row r="16" spans="1:4">
      <c r="B16" t="s">
        <v>85</v>
      </c>
    </row>
    <row r="17" spans="1:2">
      <c r="B17" t="s">
        <v>86</v>
      </c>
    </row>
    <row r="18" spans="1:2">
      <c r="B18" t="s">
        <v>89</v>
      </c>
    </row>
    <row r="19" spans="1:2">
      <c r="A19" t="s">
        <v>87</v>
      </c>
    </row>
    <row r="20" spans="1:2">
      <c r="A20" s="116" t="s">
        <v>117</v>
      </c>
    </row>
    <row r="21" spans="1:2">
      <c r="A21" s="116" t="s">
        <v>118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LaunchUserfor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63"/>
  <sheetViews>
    <sheetView zoomScale="60" zoomScaleNormal="60" workbookViewId="0">
      <selection activeCell="D14" sqref="D14"/>
    </sheetView>
  </sheetViews>
  <sheetFormatPr defaultColWidth="14.85546875" defaultRowHeight="15"/>
  <cols>
    <col min="1" max="1" width="36.42578125" style="54" bestFit="1" customWidth="1"/>
    <col min="2" max="2" width="18.28515625" style="54" bestFit="1" customWidth="1"/>
    <col min="3" max="3" width="12" style="54" customWidth="1"/>
    <col min="4" max="4" width="14.7109375" style="54" customWidth="1"/>
    <col min="5" max="5" width="14.85546875" style="54"/>
    <col min="6" max="6" width="14.28515625" style="54" customWidth="1"/>
    <col min="7" max="7" width="14.140625" style="54" customWidth="1"/>
    <col min="8" max="8" width="20" style="54" customWidth="1"/>
    <col min="9" max="9" width="14.85546875" style="54" customWidth="1"/>
    <col min="10" max="10" width="13.42578125" style="54" customWidth="1"/>
    <col min="11" max="11" width="14.85546875" style="54" customWidth="1"/>
    <col min="12" max="12" width="9.7109375" style="54" customWidth="1"/>
    <col min="13" max="13" width="12.140625" style="54" customWidth="1"/>
    <col min="14" max="14" width="9.140625" style="54" customWidth="1"/>
    <col min="15" max="15" width="8.85546875" style="54" customWidth="1"/>
    <col min="16" max="16" width="7.42578125" style="54" customWidth="1"/>
    <col min="17" max="17" width="8.28515625" style="54" customWidth="1"/>
    <col min="18" max="18" width="7.5703125" style="54" customWidth="1"/>
    <col min="19" max="19" width="6.42578125" style="54" customWidth="1"/>
    <col min="20" max="20" width="5.85546875" style="54" customWidth="1"/>
    <col min="21" max="22" width="6.28515625" style="54" customWidth="1"/>
    <col min="23" max="23" width="6.42578125" style="54" customWidth="1"/>
    <col min="24" max="24" width="6.140625" style="54" customWidth="1"/>
    <col min="25" max="25" width="17.5703125" style="54" customWidth="1"/>
    <col min="26" max="26" width="17.28515625" style="54" customWidth="1"/>
    <col min="27" max="27" width="16.85546875" style="54" bestFit="1" customWidth="1"/>
    <col min="28" max="28" width="40.28515625" style="54" bestFit="1" customWidth="1"/>
    <col min="29" max="16384" width="14.85546875" style="54"/>
  </cols>
  <sheetData>
    <row r="1" spans="1:31" ht="60">
      <c r="A1" s="234" t="s">
        <v>79</v>
      </c>
      <c r="B1" s="235"/>
      <c r="C1" s="235"/>
      <c r="D1" s="235"/>
      <c r="F1" s="137" t="s">
        <v>18</v>
      </c>
      <c r="G1" s="138" t="s">
        <v>80</v>
      </c>
      <c r="H1" s="137" t="s">
        <v>47</v>
      </c>
      <c r="I1" s="137" t="s">
        <v>91</v>
      </c>
      <c r="J1" s="137" t="s">
        <v>51</v>
      </c>
      <c r="K1" s="137" t="s">
        <v>64</v>
      </c>
      <c r="L1" s="143" t="s">
        <v>92</v>
      </c>
      <c r="M1" s="140" t="s">
        <v>65</v>
      </c>
      <c r="N1" s="142">
        <v>2.6</v>
      </c>
      <c r="O1" s="142">
        <v>2.7</v>
      </c>
      <c r="P1" s="142">
        <v>2.8</v>
      </c>
      <c r="Q1" s="142">
        <v>2.9</v>
      </c>
      <c r="R1" s="142">
        <v>3</v>
      </c>
      <c r="S1" s="142">
        <v>3.1</v>
      </c>
      <c r="T1" s="142">
        <v>3.2</v>
      </c>
      <c r="U1" s="142">
        <v>3.3</v>
      </c>
      <c r="V1" s="142">
        <v>3.4</v>
      </c>
      <c r="W1" s="142">
        <v>3.5</v>
      </c>
      <c r="X1" s="142">
        <v>3.6</v>
      </c>
      <c r="Y1" s="137" t="s">
        <v>69</v>
      </c>
      <c r="Z1" s="137" t="s">
        <v>70</v>
      </c>
      <c r="AA1" s="147" t="s">
        <v>107</v>
      </c>
      <c r="AB1" s="145" t="s">
        <v>112</v>
      </c>
      <c r="AC1" s="137" t="s">
        <v>47</v>
      </c>
      <c r="AD1" s="137" t="s">
        <v>119</v>
      </c>
      <c r="AE1" s="137" t="s">
        <v>120</v>
      </c>
    </row>
    <row r="2" spans="1:31" ht="15.75">
      <c r="F2" s="139">
        <v>100</v>
      </c>
      <c r="G2" s="164">
        <v>17</v>
      </c>
      <c r="H2" s="139" t="s">
        <v>60</v>
      </c>
      <c r="I2" s="141">
        <v>12</v>
      </c>
      <c r="J2" s="139">
        <v>0</v>
      </c>
      <c r="K2" s="139">
        <v>0</v>
      </c>
      <c r="L2" s="144">
        <v>2.6</v>
      </c>
      <c r="M2" s="142">
        <v>3</v>
      </c>
      <c r="N2" s="163">
        <v>4.5</v>
      </c>
      <c r="O2" s="163">
        <v>4.5</v>
      </c>
      <c r="P2" s="163">
        <v>4.5</v>
      </c>
      <c r="Q2" s="163">
        <v>4.55</v>
      </c>
      <c r="R2" s="163">
        <v>4.5999999999999996</v>
      </c>
      <c r="S2" s="163">
        <v>4.6500000000000004</v>
      </c>
      <c r="T2" s="163">
        <v>4.7</v>
      </c>
      <c r="U2" s="163">
        <v>4.75</v>
      </c>
      <c r="V2" s="163">
        <v>4.8</v>
      </c>
      <c r="W2" s="163">
        <v>4.8</v>
      </c>
      <c r="X2" s="163">
        <v>4.8</v>
      </c>
      <c r="Y2" s="139" t="s">
        <v>66</v>
      </c>
      <c r="Z2" s="139">
        <v>28</v>
      </c>
      <c r="AA2" s="147">
        <v>0</v>
      </c>
      <c r="AB2" s="146">
        <v>0.3</v>
      </c>
      <c r="AC2" s="147" t="str">
        <f>H2</f>
        <v>Dry</v>
      </c>
      <c r="AD2" s="160">
        <v>4.0000000000000001E-3</v>
      </c>
      <c r="AE2" s="160">
        <v>2E-3</v>
      </c>
    </row>
    <row r="3" spans="1:31" ht="30" customHeight="1">
      <c r="D3" s="55" t="s">
        <v>72</v>
      </c>
      <c r="F3" s="139">
        <v>125</v>
      </c>
      <c r="G3" s="164">
        <v>19.062000000000001</v>
      </c>
      <c r="H3" s="139" t="s">
        <v>61</v>
      </c>
      <c r="I3" s="141">
        <v>17</v>
      </c>
      <c r="J3" s="139">
        <v>1</v>
      </c>
      <c r="K3" s="139">
        <v>0</v>
      </c>
      <c r="L3" s="144">
        <v>2.7</v>
      </c>
      <c r="M3" s="142">
        <v>3.1</v>
      </c>
      <c r="N3" s="163">
        <v>4.55</v>
      </c>
      <c r="O3" s="163">
        <v>4.55</v>
      </c>
      <c r="P3" s="163">
        <v>4.5999999999999996</v>
      </c>
      <c r="Q3" s="163">
        <v>4.5999999999999996</v>
      </c>
      <c r="R3" s="163">
        <v>4.6500000000000004</v>
      </c>
      <c r="S3" s="163">
        <v>4.7</v>
      </c>
      <c r="T3" s="163">
        <v>4.75</v>
      </c>
      <c r="U3" s="163">
        <v>4.8</v>
      </c>
      <c r="V3" s="163">
        <v>4.8499999999999996</v>
      </c>
      <c r="W3" s="163">
        <v>4.8499999999999996</v>
      </c>
      <c r="X3" s="163">
        <v>4.9000000000000004</v>
      </c>
      <c r="Y3" s="139" t="s">
        <v>67</v>
      </c>
      <c r="Z3" s="139">
        <v>55</v>
      </c>
      <c r="AA3" s="147" t="s">
        <v>108</v>
      </c>
      <c r="AB3" s="146">
        <v>0.4</v>
      </c>
      <c r="AC3" s="147" t="str">
        <f>H3</f>
        <v>Early lactation</v>
      </c>
      <c r="AD3" s="160">
        <v>8.0000000000000002E-3</v>
      </c>
      <c r="AE3" s="160">
        <v>4.0000000000000001E-3</v>
      </c>
    </row>
    <row r="4" spans="1:31" ht="30" customHeight="1">
      <c r="A4" s="59" t="s">
        <v>18</v>
      </c>
      <c r="B4" s="60"/>
      <c r="C4" s="165">
        <v>600</v>
      </c>
      <c r="D4" s="136">
        <f>IF(ISNUMBER(C4),VLOOKUP(C4,F2:G22,2,FALSE),"")</f>
        <v>63</v>
      </c>
      <c r="F4" s="139">
        <v>150</v>
      </c>
      <c r="G4" s="164">
        <v>22</v>
      </c>
      <c r="H4" s="139" t="s">
        <v>62</v>
      </c>
      <c r="I4" s="141">
        <v>16</v>
      </c>
      <c r="J4" s="139">
        <v>2</v>
      </c>
      <c r="K4" s="139">
        <v>0</v>
      </c>
      <c r="L4" s="144">
        <v>2.8</v>
      </c>
      <c r="M4" s="142">
        <v>3.2</v>
      </c>
      <c r="N4" s="163">
        <v>4.5999999999999996</v>
      </c>
      <c r="O4" s="163">
        <v>4.6500000000000004</v>
      </c>
      <c r="P4" s="163">
        <v>4.7</v>
      </c>
      <c r="Q4" s="163">
        <v>4.7</v>
      </c>
      <c r="R4" s="163">
        <v>4.7</v>
      </c>
      <c r="S4" s="163">
        <v>4.75</v>
      </c>
      <c r="T4" s="163">
        <v>4.8</v>
      </c>
      <c r="U4" s="163">
        <v>4.8499999999999996</v>
      </c>
      <c r="V4" s="163">
        <v>4.9000000000000004</v>
      </c>
      <c r="W4" s="163">
        <v>4.95</v>
      </c>
      <c r="X4" s="163">
        <v>5</v>
      </c>
      <c r="Y4" s="139" t="s">
        <v>68</v>
      </c>
      <c r="Z4" s="139">
        <v>44</v>
      </c>
      <c r="AA4" s="148" t="s">
        <v>109</v>
      </c>
      <c r="AB4" s="146">
        <v>0.5</v>
      </c>
      <c r="AC4" s="147" t="str">
        <f>H4</f>
        <v>Mid lactation</v>
      </c>
      <c r="AD4" s="160">
        <v>7.0000000000000001E-3</v>
      </c>
      <c r="AE4" s="160">
        <v>3.5000000000000001E-3</v>
      </c>
    </row>
    <row r="5" spans="1:31" ht="30" customHeight="1">
      <c r="A5" s="59" t="s">
        <v>51</v>
      </c>
      <c r="B5" s="60"/>
      <c r="C5" s="75">
        <v>0</v>
      </c>
      <c r="D5" s="136">
        <f>IF(ISNUMBER(C5),VLOOKUP(C5,J2:K11,2,FALSE),"")</f>
        <v>0</v>
      </c>
      <c r="E5" s="57"/>
      <c r="F5" s="139">
        <v>175</v>
      </c>
      <c r="G5" s="164">
        <v>24.5688</v>
      </c>
      <c r="H5" s="139" t="s">
        <v>63</v>
      </c>
      <c r="I5" s="141">
        <v>15</v>
      </c>
      <c r="J5" s="139">
        <v>3</v>
      </c>
      <c r="K5" s="139">
        <v>0</v>
      </c>
      <c r="L5" s="144">
        <v>2.9</v>
      </c>
      <c r="M5" s="142">
        <v>3.3</v>
      </c>
      <c r="N5" s="163">
        <v>4.6500000000000004</v>
      </c>
      <c r="O5" s="163">
        <v>4.6900000000000004</v>
      </c>
      <c r="P5" s="163">
        <v>4.7300000000000004</v>
      </c>
      <c r="Q5" s="163">
        <v>4.7699999999999996</v>
      </c>
      <c r="R5" s="163">
        <v>4.8099999999999996</v>
      </c>
      <c r="S5" s="163">
        <v>4.8499999999999996</v>
      </c>
      <c r="T5" s="163">
        <v>4.8499999999999996</v>
      </c>
      <c r="U5" s="163">
        <v>4.93</v>
      </c>
      <c r="V5" s="163">
        <v>4.95</v>
      </c>
      <c r="W5" s="163">
        <v>5.01</v>
      </c>
      <c r="X5" s="163">
        <v>5.05</v>
      </c>
      <c r="AA5" s="147" t="s">
        <v>110</v>
      </c>
      <c r="AB5" s="146">
        <v>0.6</v>
      </c>
      <c r="AC5" s="147" t="str">
        <f>H5</f>
        <v>Late lactation</v>
      </c>
      <c r="AD5" s="160">
        <v>4.0000000000000001E-3</v>
      </c>
      <c r="AE5" s="160">
        <v>2E-3</v>
      </c>
    </row>
    <row r="6" spans="1:31" ht="30" customHeight="1">
      <c r="A6" s="61" t="s">
        <v>50</v>
      </c>
      <c r="B6" s="62" t="s">
        <v>103</v>
      </c>
      <c r="C6" s="112">
        <v>32</v>
      </c>
      <c r="D6" s="231">
        <f>IF(ISNUMBER(C6),IF(ISNUMBER(C7),IF(ISNUMBER(C8),C6*INDEX($M$1:$X$24,MATCH($C$7,$M$1:$M$24,0),MATCH($C$8,$M$1:$X$1,0))*1,""),""),"")</f>
        <v>162.4</v>
      </c>
      <c r="E6" s="57"/>
      <c r="F6" s="139">
        <v>200</v>
      </c>
      <c r="G6" s="164">
        <v>27</v>
      </c>
      <c r="H6" s="57"/>
      <c r="I6" s="57"/>
      <c r="J6" s="139">
        <v>4</v>
      </c>
      <c r="K6" s="139">
        <v>0</v>
      </c>
      <c r="L6" s="144">
        <v>3</v>
      </c>
      <c r="M6" s="142">
        <v>3.4</v>
      </c>
      <c r="N6" s="163">
        <v>4.7</v>
      </c>
      <c r="O6" s="163">
        <v>4.75</v>
      </c>
      <c r="P6" s="163">
        <v>4.8</v>
      </c>
      <c r="Q6" s="163">
        <v>4.8449999999999998</v>
      </c>
      <c r="R6" s="163">
        <v>4.9000000000000004</v>
      </c>
      <c r="S6" s="163">
        <v>4.9249999999999998</v>
      </c>
      <c r="T6" s="163">
        <v>4.9000000000000004</v>
      </c>
      <c r="U6" s="163">
        <v>4.95</v>
      </c>
      <c r="V6" s="163">
        <v>5</v>
      </c>
      <c r="W6" s="163">
        <v>5.085</v>
      </c>
      <c r="X6" s="163">
        <v>5.0999999999999996</v>
      </c>
      <c r="AA6" s="147" t="s">
        <v>111</v>
      </c>
      <c r="AB6" s="146">
        <v>0.7</v>
      </c>
    </row>
    <row r="7" spans="1:31" ht="30" customHeight="1">
      <c r="A7" s="63"/>
      <c r="B7" s="64" t="s">
        <v>127</v>
      </c>
      <c r="C7" s="76">
        <v>3.6</v>
      </c>
      <c r="D7" s="232"/>
      <c r="E7" s="57"/>
      <c r="F7" s="139">
        <v>225</v>
      </c>
      <c r="G7" s="164">
        <v>29.652000000000001</v>
      </c>
      <c r="H7" s="57"/>
      <c r="I7" s="57"/>
      <c r="J7" s="139">
        <v>5</v>
      </c>
      <c r="K7" s="139">
        <v>0</v>
      </c>
      <c r="L7" s="144">
        <v>3.1</v>
      </c>
      <c r="M7" s="142">
        <v>3.5</v>
      </c>
      <c r="N7" s="163">
        <v>4.8</v>
      </c>
      <c r="O7" s="163">
        <v>4.84</v>
      </c>
      <c r="P7" s="163">
        <v>4.88</v>
      </c>
      <c r="Q7" s="163">
        <v>4.92</v>
      </c>
      <c r="R7" s="163">
        <v>4.96</v>
      </c>
      <c r="S7" s="163">
        <v>5</v>
      </c>
      <c r="T7" s="163">
        <v>5.04</v>
      </c>
      <c r="U7" s="163">
        <v>5.08</v>
      </c>
      <c r="V7" s="163">
        <v>5.08</v>
      </c>
      <c r="W7" s="163">
        <v>5.15</v>
      </c>
      <c r="X7" s="163">
        <v>5.16</v>
      </c>
    </row>
    <row r="8" spans="1:31" ht="30" customHeight="1">
      <c r="A8" s="65"/>
      <c r="B8" s="66" t="s">
        <v>128</v>
      </c>
      <c r="C8" s="77">
        <v>3.1</v>
      </c>
      <c r="D8" s="233"/>
      <c r="E8" s="57"/>
      <c r="F8" s="139">
        <v>250</v>
      </c>
      <c r="G8" s="164">
        <v>31</v>
      </c>
      <c r="H8" s="57"/>
      <c r="I8" s="57"/>
      <c r="J8" s="139">
        <v>6</v>
      </c>
      <c r="K8" s="139">
        <v>8</v>
      </c>
      <c r="L8" s="144">
        <v>3.2</v>
      </c>
      <c r="M8" s="142">
        <v>3.6</v>
      </c>
      <c r="N8" s="163">
        <v>4.9000000000000004</v>
      </c>
      <c r="O8" s="163">
        <v>4.9000000000000004</v>
      </c>
      <c r="P8" s="163">
        <v>4.9000000000000004</v>
      </c>
      <c r="Q8" s="163">
        <v>4.9950000000000001</v>
      </c>
      <c r="R8" s="163">
        <v>5</v>
      </c>
      <c r="S8" s="163">
        <v>5.0750000000000002</v>
      </c>
      <c r="T8" s="163">
        <v>5.0999999999999996</v>
      </c>
      <c r="U8" s="163">
        <v>5.1550000000000002</v>
      </c>
      <c r="V8" s="163">
        <v>5.0999999999999996</v>
      </c>
      <c r="W8" s="163">
        <v>5.15</v>
      </c>
      <c r="X8" s="163">
        <v>5.2</v>
      </c>
    </row>
    <row r="9" spans="1:31" ht="39" customHeight="1">
      <c r="A9" s="67" t="s">
        <v>52</v>
      </c>
      <c r="B9" s="68" t="s">
        <v>140</v>
      </c>
      <c r="C9" s="75">
        <v>0</v>
      </c>
      <c r="D9" s="136">
        <f>IF(ISNUMBER(C9),$C$9*IF($C$9&lt;0,$Z$2,IF(AND($C$9&gt;0,$C$6&lt;1),$Z$3,IF(AND($C$9&gt;0,$C$6&gt;=1),$Z$4,0))),"")</f>
        <v>0</v>
      </c>
      <c r="E9" s="57"/>
      <c r="F9" s="139">
        <v>275</v>
      </c>
      <c r="G9" s="164">
        <v>34.523400000000002</v>
      </c>
      <c r="H9" s="57"/>
      <c r="I9" s="57"/>
      <c r="J9" s="139">
        <v>7</v>
      </c>
      <c r="K9" s="139">
        <v>10</v>
      </c>
      <c r="L9" s="144">
        <v>3.3</v>
      </c>
      <c r="M9" s="142">
        <v>3.7</v>
      </c>
      <c r="N9" s="163">
        <v>4.95</v>
      </c>
      <c r="O9" s="163">
        <v>4.99</v>
      </c>
      <c r="P9" s="163">
        <v>5.01</v>
      </c>
      <c r="Q9" s="163">
        <v>5.07</v>
      </c>
      <c r="R9" s="163">
        <v>5.07</v>
      </c>
      <c r="S9" s="163">
        <v>5.15</v>
      </c>
      <c r="T9" s="163">
        <v>5.13</v>
      </c>
      <c r="U9" s="163">
        <v>5.23</v>
      </c>
      <c r="V9" s="163">
        <v>5.19</v>
      </c>
      <c r="W9" s="163">
        <v>5.2</v>
      </c>
      <c r="X9" s="163">
        <v>5.25</v>
      </c>
    </row>
    <row r="10" spans="1:31" ht="30" customHeight="1">
      <c r="A10" s="69"/>
      <c r="B10" s="69"/>
      <c r="C10" s="70" t="s">
        <v>178</v>
      </c>
      <c r="D10" s="88">
        <f>SUM(D4:D9)</f>
        <v>225.4</v>
      </c>
      <c r="E10" s="57">
        <f>D10*239</f>
        <v>53870.6</v>
      </c>
      <c r="F10" s="139">
        <v>300</v>
      </c>
      <c r="G10" s="164">
        <v>36</v>
      </c>
      <c r="H10" s="57"/>
      <c r="I10" s="57"/>
      <c r="J10" s="139">
        <v>8</v>
      </c>
      <c r="K10" s="139">
        <v>15</v>
      </c>
      <c r="L10" s="144">
        <v>3.4</v>
      </c>
      <c r="M10" s="142">
        <v>3.8</v>
      </c>
      <c r="N10" s="163">
        <v>5</v>
      </c>
      <c r="O10" s="163">
        <v>5.0650000000000004</v>
      </c>
      <c r="P10" s="163">
        <v>5.0999999999999996</v>
      </c>
      <c r="Q10" s="163">
        <v>5.1675000000000004</v>
      </c>
      <c r="R10" s="163">
        <v>5.0999999999999996</v>
      </c>
      <c r="S10" s="163">
        <v>5.15</v>
      </c>
      <c r="T10" s="163">
        <v>5.2</v>
      </c>
      <c r="U10" s="163">
        <v>5.3274999999999997</v>
      </c>
      <c r="V10" s="163">
        <v>5.3</v>
      </c>
      <c r="W10" s="163">
        <v>5.3</v>
      </c>
      <c r="X10" s="163">
        <v>5.3</v>
      </c>
    </row>
    <row r="11" spans="1:31" ht="30" customHeight="1">
      <c r="A11" s="69"/>
      <c r="B11" s="69"/>
      <c r="C11" s="54" t="s">
        <v>141</v>
      </c>
      <c r="D11" s="56"/>
      <c r="E11" s="57"/>
      <c r="F11" s="139">
        <v>325</v>
      </c>
      <c r="G11" s="164">
        <v>39.077100000000002</v>
      </c>
      <c r="H11" s="57"/>
      <c r="I11" s="57"/>
      <c r="J11" s="139">
        <v>9</v>
      </c>
      <c r="K11" s="139">
        <v>20</v>
      </c>
      <c r="L11" s="144">
        <v>3.5</v>
      </c>
      <c r="M11" s="142">
        <v>3.9</v>
      </c>
      <c r="N11" s="163">
        <v>5.05</v>
      </c>
      <c r="O11" s="163">
        <v>5.14</v>
      </c>
      <c r="P11" s="163">
        <v>5.1100000000000003</v>
      </c>
      <c r="Q11" s="163">
        <v>5.2649999999999997</v>
      </c>
      <c r="R11" s="163">
        <v>5.17</v>
      </c>
      <c r="S11" s="163">
        <v>5.2</v>
      </c>
      <c r="T11" s="163">
        <v>5.23</v>
      </c>
      <c r="U11" s="163">
        <v>5.4249999999999998</v>
      </c>
      <c r="V11" s="163">
        <v>5.29</v>
      </c>
      <c r="W11" s="163">
        <v>5.3</v>
      </c>
      <c r="X11" s="163">
        <v>5.35</v>
      </c>
    </row>
    <row r="12" spans="1:31" ht="30" customHeight="1">
      <c r="D12" s="71" t="s">
        <v>49</v>
      </c>
      <c r="E12" s="57"/>
      <c r="F12" s="139">
        <v>350</v>
      </c>
      <c r="G12" s="164">
        <v>40</v>
      </c>
      <c r="H12" s="57"/>
      <c r="I12" s="57"/>
      <c r="J12" s="57"/>
      <c r="K12" s="57"/>
      <c r="L12" s="144">
        <v>3.6</v>
      </c>
      <c r="M12" s="142">
        <v>4</v>
      </c>
      <c r="N12" s="163">
        <v>5.0999999999999996</v>
      </c>
      <c r="O12" s="163">
        <v>5.1875</v>
      </c>
      <c r="P12" s="163">
        <v>5.2</v>
      </c>
      <c r="Q12" s="163">
        <v>5.1875</v>
      </c>
      <c r="R12" s="163">
        <v>5.3</v>
      </c>
      <c r="S12" s="163">
        <v>5.2474999999999996</v>
      </c>
      <c r="T12" s="163">
        <v>5.3</v>
      </c>
      <c r="U12" s="163">
        <v>5.3075000000000001</v>
      </c>
      <c r="V12" s="163">
        <v>5.4</v>
      </c>
      <c r="W12" s="163">
        <v>5.4175000000000004</v>
      </c>
      <c r="X12" s="163">
        <v>5.5</v>
      </c>
    </row>
    <row r="13" spans="1:31" ht="30" customHeight="1">
      <c r="A13" s="72" t="s">
        <v>47</v>
      </c>
      <c r="B13" s="230" t="s">
        <v>61</v>
      </c>
      <c r="C13" s="230"/>
      <c r="D13" s="172" t="s">
        <v>203</v>
      </c>
      <c r="E13" s="57"/>
      <c r="F13" s="139">
        <v>375</v>
      </c>
      <c r="G13" s="164">
        <v>43.418999999999997</v>
      </c>
      <c r="H13" s="57"/>
      <c r="I13" s="57"/>
      <c r="J13" s="57"/>
      <c r="K13" s="57"/>
      <c r="L13" s="57"/>
      <c r="M13" s="142">
        <v>4.0999999999999996</v>
      </c>
      <c r="N13" s="163">
        <v>5.2</v>
      </c>
      <c r="O13" s="163">
        <v>5.2350000000000003</v>
      </c>
      <c r="P13" s="163">
        <v>5.27</v>
      </c>
      <c r="Q13" s="163">
        <v>5.2350000000000003</v>
      </c>
      <c r="R13" s="163">
        <v>5.34</v>
      </c>
      <c r="S13" s="163">
        <v>5.2949999999999999</v>
      </c>
      <c r="T13" s="163">
        <v>5.41</v>
      </c>
      <c r="U13" s="163">
        <v>5.3550000000000004</v>
      </c>
      <c r="V13" s="163">
        <v>5.48</v>
      </c>
      <c r="W13" s="163">
        <v>5.5149999999999997</v>
      </c>
      <c r="X13" s="163">
        <v>5.55</v>
      </c>
    </row>
    <row r="14" spans="1:31" ht="30" customHeight="1">
      <c r="D14" s="57"/>
      <c r="E14" s="57"/>
      <c r="F14" s="139">
        <v>400</v>
      </c>
      <c r="G14" s="164">
        <v>45</v>
      </c>
      <c r="H14" s="57"/>
      <c r="I14" s="57"/>
      <c r="J14" s="57"/>
      <c r="K14" s="57"/>
      <c r="L14" s="57"/>
      <c r="M14" s="142">
        <v>4.2</v>
      </c>
      <c r="N14" s="163">
        <v>5.3</v>
      </c>
      <c r="O14" s="163">
        <v>5.3324999999999996</v>
      </c>
      <c r="P14" s="163">
        <v>5.3</v>
      </c>
      <c r="Q14" s="163">
        <v>5.3324999999999996</v>
      </c>
      <c r="R14" s="163">
        <v>5.4</v>
      </c>
      <c r="S14" s="163">
        <v>5.3925000000000001</v>
      </c>
      <c r="T14" s="163">
        <v>5.5</v>
      </c>
      <c r="U14" s="163">
        <v>5.4574999999999996</v>
      </c>
      <c r="V14" s="163">
        <v>5.5</v>
      </c>
      <c r="W14" s="163">
        <v>5.6124999999999998</v>
      </c>
      <c r="X14" s="163">
        <v>5.6</v>
      </c>
    </row>
    <row r="15" spans="1:31" ht="30" customHeight="1">
      <c r="D15" s="71" t="s">
        <v>71</v>
      </c>
      <c r="E15" s="57"/>
      <c r="F15" s="139">
        <v>425</v>
      </c>
      <c r="G15" s="164">
        <v>47.760899999999999</v>
      </c>
      <c r="H15" s="57"/>
      <c r="I15" s="57"/>
      <c r="J15" s="57"/>
      <c r="K15" s="57"/>
      <c r="L15" s="57"/>
      <c r="M15" s="142">
        <v>4.3</v>
      </c>
      <c r="N15" s="163">
        <v>5.35</v>
      </c>
      <c r="O15" s="163">
        <v>5.43</v>
      </c>
      <c r="P15" s="163">
        <v>5.41</v>
      </c>
      <c r="Q15" s="163">
        <v>5.43</v>
      </c>
      <c r="R15" s="163">
        <v>5.47</v>
      </c>
      <c r="S15" s="163">
        <v>5.49</v>
      </c>
      <c r="T15" s="163">
        <v>5.53</v>
      </c>
      <c r="U15" s="163">
        <v>5.56</v>
      </c>
      <c r="V15" s="163">
        <v>5.59</v>
      </c>
      <c r="W15" s="163">
        <v>5.71</v>
      </c>
      <c r="X15" s="163">
        <v>5.65</v>
      </c>
    </row>
    <row r="16" spans="1:31" ht="30" customHeight="1">
      <c r="D16" s="159">
        <v>0.3</v>
      </c>
      <c r="E16" s="57"/>
      <c r="F16" s="139">
        <v>450</v>
      </c>
      <c r="G16" s="164">
        <v>49</v>
      </c>
      <c r="H16" s="57"/>
      <c r="I16" s="57"/>
      <c r="J16" s="57"/>
      <c r="K16" s="57"/>
      <c r="L16" s="57"/>
      <c r="M16" s="142">
        <v>4.4000000000000004</v>
      </c>
      <c r="N16" s="163">
        <v>5.4</v>
      </c>
      <c r="O16" s="163">
        <v>5.45</v>
      </c>
      <c r="P16" s="163">
        <v>5.5</v>
      </c>
      <c r="Q16" s="163">
        <v>5.5274999999999999</v>
      </c>
      <c r="R16" s="163">
        <v>5.5</v>
      </c>
      <c r="S16" s="163">
        <v>5.5875000000000004</v>
      </c>
      <c r="T16" s="163">
        <v>5.6</v>
      </c>
      <c r="U16" s="163">
        <v>5.6275000000000004</v>
      </c>
      <c r="V16" s="163">
        <v>5.7</v>
      </c>
      <c r="W16" s="163">
        <v>5.8075000000000001</v>
      </c>
      <c r="X16" s="163">
        <v>5.7</v>
      </c>
    </row>
    <row r="17" spans="1:24" ht="15.75">
      <c r="D17" s="57"/>
      <c r="E17" s="57"/>
      <c r="F17" s="139">
        <v>475</v>
      </c>
      <c r="G17" s="164">
        <v>51.890999999999998</v>
      </c>
      <c r="H17" s="57"/>
      <c r="I17" s="57"/>
      <c r="J17" s="57"/>
      <c r="K17" s="57"/>
      <c r="L17" s="57"/>
      <c r="M17" s="142">
        <v>4.5</v>
      </c>
      <c r="N17" s="163">
        <v>5.45</v>
      </c>
      <c r="O17" s="163">
        <v>5.5</v>
      </c>
      <c r="P17" s="163">
        <v>5.52</v>
      </c>
      <c r="Q17" s="163">
        <v>5.625</v>
      </c>
      <c r="R17" s="163">
        <v>5.59</v>
      </c>
      <c r="S17" s="163">
        <v>5.6849999999999996</v>
      </c>
      <c r="T17" s="163">
        <v>5.66</v>
      </c>
      <c r="U17" s="163">
        <v>5.6950000000000003</v>
      </c>
      <c r="V17" s="163">
        <v>5.73</v>
      </c>
      <c r="W17" s="163">
        <v>5.9050000000000002</v>
      </c>
      <c r="X17" s="163">
        <v>5.8</v>
      </c>
    </row>
    <row r="18" spans="1:24" ht="15.75">
      <c r="A18" s="118" t="s">
        <v>73</v>
      </c>
      <c r="D18" s="71" t="s">
        <v>121</v>
      </c>
      <c r="E18" s="57"/>
      <c r="F18" s="139">
        <v>500</v>
      </c>
      <c r="G18" s="164">
        <v>54</v>
      </c>
      <c r="H18" s="57"/>
      <c r="I18" s="57"/>
      <c r="J18" s="57"/>
      <c r="K18" s="57"/>
      <c r="L18" s="57"/>
      <c r="M18" s="142">
        <v>4.5999999999999996</v>
      </c>
      <c r="N18" s="163">
        <v>5.5</v>
      </c>
      <c r="O18" s="163">
        <v>5.6</v>
      </c>
      <c r="P18" s="163">
        <v>5.6</v>
      </c>
      <c r="Q18" s="163">
        <v>5.7225000000000001</v>
      </c>
      <c r="R18" s="163">
        <v>5.7</v>
      </c>
      <c r="S18" s="163">
        <v>5.7824999999999998</v>
      </c>
      <c r="T18" s="163">
        <v>5.7</v>
      </c>
      <c r="U18" s="163">
        <v>5.7625000000000002</v>
      </c>
      <c r="V18" s="163">
        <v>5.8</v>
      </c>
      <c r="W18" s="163">
        <v>6.0025000000000004</v>
      </c>
      <c r="X18" s="163">
        <v>5.9</v>
      </c>
    </row>
    <row r="19" spans="1:24" ht="19.5">
      <c r="D19" s="166">
        <f>IF(B13="","",VLOOKUP(B13,AC2:AE5,2,FALSE))</f>
        <v>8.0000000000000002E-3</v>
      </c>
      <c r="E19" s="57"/>
      <c r="F19" s="139">
        <v>525</v>
      </c>
      <c r="G19" s="164">
        <v>56.021099999999997</v>
      </c>
      <c r="H19" s="57"/>
      <c r="I19" s="57"/>
      <c r="J19" s="57"/>
      <c r="K19" s="57"/>
      <c r="L19" s="57"/>
      <c r="M19" s="142">
        <v>4.7</v>
      </c>
      <c r="N19" s="163">
        <v>5.55</v>
      </c>
      <c r="O19" s="163">
        <v>5.6</v>
      </c>
      <c r="P19" s="163">
        <v>5.63</v>
      </c>
      <c r="Q19" s="163">
        <v>5.8</v>
      </c>
      <c r="R19" s="163">
        <v>5.8</v>
      </c>
      <c r="S19" s="163">
        <v>5.8</v>
      </c>
      <c r="T19" s="163">
        <v>5.9</v>
      </c>
      <c r="U19" s="163">
        <v>5.83</v>
      </c>
      <c r="V19" s="163">
        <v>5.87</v>
      </c>
      <c r="W19" s="163">
        <v>6.1</v>
      </c>
      <c r="X19" s="163">
        <v>5.95</v>
      </c>
    </row>
    <row r="20" spans="1:24" ht="15.75">
      <c r="D20" s="73"/>
      <c r="F20" s="139">
        <v>550</v>
      </c>
      <c r="G20" s="164">
        <v>59</v>
      </c>
      <c r="H20" s="57"/>
      <c r="I20" s="57"/>
      <c r="J20" s="74"/>
      <c r="K20" s="74"/>
      <c r="L20" s="74"/>
      <c r="M20" s="142">
        <v>4.8</v>
      </c>
      <c r="N20" s="163">
        <v>5.6</v>
      </c>
      <c r="O20" s="163">
        <v>5.7</v>
      </c>
      <c r="P20" s="163">
        <v>5.7</v>
      </c>
      <c r="Q20" s="163">
        <v>5.9175000000000004</v>
      </c>
      <c r="R20" s="163">
        <v>5.8</v>
      </c>
      <c r="S20" s="163">
        <v>5.87</v>
      </c>
      <c r="T20" s="163">
        <v>5.9</v>
      </c>
      <c r="U20" s="163">
        <v>5.8875000000000002</v>
      </c>
      <c r="V20" s="163">
        <v>5.9</v>
      </c>
      <c r="W20" s="163">
        <v>6.1</v>
      </c>
      <c r="X20" s="163">
        <v>6</v>
      </c>
    </row>
    <row r="21" spans="1:24" ht="15.75">
      <c r="D21" s="71" t="s">
        <v>122</v>
      </c>
      <c r="E21" s="73"/>
      <c r="F21" s="139">
        <v>575</v>
      </c>
      <c r="G21" s="164">
        <v>59.769599999999997</v>
      </c>
      <c r="H21" s="57"/>
      <c r="I21" s="57"/>
      <c r="J21" s="74"/>
      <c r="K21" s="74"/>
      <c r="L21" s="74"/>
      <c r="M21" s="142">
        <v>4.9000000000000004</v>
      </c>
      <c r="N21" s="163">
        <v>5.7</v>
      </c>
      <c r="O21" s="163">
        <v>5.7</v>
      </c>
      <c r="P21" s="163">
        <v>5.77</v>
      </c>
      <c r="Q21" s="163">
        <v>6.0149999999999997</v>
      </c>
      <c r="R21" s="163">
        <v>5.84</v>
      </c>
      <c r="S21" s="163">
        <v>5.87</v>
      </c>
      <c r="T21" s="163">
        <v>5.9</v>
      </c>
      <c r="U21" s="163">
        <v>5.9450000000000003</v>
      </c>
      <c r="V21" s="163">
        <v>5.98</v>
      </c>
      <c r="W21" s="163">
        <v>6.1</v>
      </c>
      <c r="X21" s="163">
        <v>6.05</v>
      </c>
    </row>
    <row r="22" spans="1:24" ht="19.5">
      <c r="D22" s="166">
        <f>IF(B13="","",VLOOKUP(B13,AC2:AE5,3,FALSE))</f>
        <v>4.0000000000000001E-3</v>
      </c>
      <c r="E22" s="73"/>
      <c r="F22" s="139">
        <v>600</v>
      </c>
      <c r="G22" s="164">
        <v>63</v>
      </c>
      <c r="H22" s="57"/>
      <c r="I22" s="57"/>
      <c r="J22" s="74"/>
      <c r="K22" s="74"/>
      <c r="L22" s="74"/>
      <c r="M22" s="142">
        <v>5</v>
      </c>
      <c r="N22" s="163">
        <v>5.8</v>
      </c>
      <c r="O22" s="163">
        <v>5.8</v>
      </c>
      <c r="P22" s="163">
        <v>5.8</v>
      </c>
      <c r="Q22" s="163">
        <v>5.85</v>
      </c>
      <c r="R22" s="163">
        <v>5.9</v>
      </c>
      <c r="S22" s="163">
        <v>5.8724999999999996</v>
      </c>
      <c r="T22" s="163">
        <v>6</v>
      </c>
      <c r="U22" s="163">
        <v>6.02</v>
      </c>
      <c r="V22" s="163">
        <v>6.1</v>
      </c>
      <c r="W22" s="163">
        <v>6.1</v>
      </c>
      <c r="X22" s="163">
        <v>6.1</v>
      </c>
    </row>
    <row r="23" spans="1:24" ht="15.75">
      <c r="D23" s="73"/>
      <c r="E23" s="73"/>
      <c r="F23" s="57"/>
      <c r="G23" s="57"/>
      <c r="H23" s="57"/>
      <c r="I23" s="57"/>
      <c r="J23" s="57"/>
      <c r="K23" s="57"/>
      <c r="L23" s="57"/>
      <c r="M23" s="142">
        <v>5.0999999999999996</v>
      </c>
      <c r="N23" s="163">
        <v>5.85</v>
      </c>
      <c r="O23" s="163">
        <v>5.85</v>
      </c>
      <c r="P23" s="163">
        <v>5.92</v>
      </c>
      <c r="Q23" s="163">
        <v>5.92</v>
      </c>
      <c r="R23" s="163">
        <v>5.95</v>
      </c>
      <c r="S23" s="163">
        <v>6</v>
      </c>
      <c r="T23" s="163">
        <v>6.06</v>
      </c>
      <c r="U23" s="163">
        <v>6.0949999999999998</v>
      </c>
      <c r="V23" s="163">
        <v>6.13</v>
      </c>
      <c r="W23" s="163">
        <v>6.2</v>
      </c>
      <c r="X23" s="163">
        <v>6.2</v>
      </c>
    </row>
    <row r="24" spans="1:24" ht="31.5">
      <c r="D24" s="71" t="s">
        <v>106</v>
      </c>
      <c r="E24" s="57"/>
      <c r="F24" s="57"/>
      <c r="G24" s="57"/>
      <c r="H24" s="57"/>
      <c r="I24" s="57"/>
      <c r="J24" s="57"/>
      <c r="K24" s="57"/>
      <c r="L24" s="57"/>
      <c r="M24" s="142">
        <v>5.2</v>
      </c>
      <c r="N24" s="163">
        <v>5.9</v>
      </c>
      <c r="O24" s="163">
        <v>5.94</v>
      </c>
      <c r="P24" s="163">
        <v>6</v>
      </c>
      <c r="Q24" s="163">
        <v>6.02</v>
      </c>
      <c r="R24" s="163">
        <v>6</v>
      </c>
      <c r="S24" s="163">
        <v>6.1</v>
      </c>
      <c r="T24" s="163">
        <v>6.1</v>
      </c>
      <c r="U24" s="163">
        <v>6.18</v>
      </c>
      <c r="V24" s="163">
        <v>6.2</v>
      </c>
      <c r="W24" s="163">
        <v>6.26</v>
      </c>
      <c r="X24" s="163">
        <v>6.3</v>
      </c>
    </row>
    <row r="25" spans="1:24" ht="19.5">
      <c r="D25" s="89">
        <f>IF(C6&gt;15,AB6,IF(C6&gt;10,AB5,IF(C6&gt;5,AB4,IF(C6=0,AB2,AB3))))</f>
        <v>0.7</v>
      </c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W25" s="57"/>
      <c r="X25" s="57"/>
    </row>
    <row r="26" spans="1:24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W26" s="57"/>
      <c r="X26" s="57"/>
    </row>
    <row r="27" spans="1:24" ht="15.75">
      <c r="A27" s="227"/>
      <c r="B27" s="227"/>
      <c r="C27" s="227"/>
      <c r="D27" s="228"/>
      <c r="E27" s="229"/>
      <c r="F27" s="229"/>
      <c r="G27" s="229"/>
      <c r="H27" s="229"/>
      <c r="I27" s="229"/>
      <c r="J27" s="57"/>
      <c r="K27" s="57"/>
      <c r="L27" s="57"/>
      <c r="M27" s="57"/>
      <c r="N27" s="57"/>
      <c r="O27" s="57"/>
      <c r="P27" s="57"/>
      <c r="Q27" s="57"/>
      <c r="R27" s="57"/>
      <c r="W27" s="57"/>
      <c r="X27" s="57"/>
    </row>
    <row r="28" spans="1:24">
      <c r="A28" s="227"/>
      <c r="B28" s="227"/>
      <c r="C28" s="227"/>
      <c r="D28" s="227"/>
      <c r="E28" s="229"/>
      <c r="F28" s="229"/>
      <c r="G28" s="229"/>
      <c r="H28" s="229"/>
      <c r="I28" s="229"/>
      <c r="J28" s="57"/>
      <c r="K28" s="57"/>
      <c r="L28" s="57"/>
      <c r="M28" s="57"/>
      <c r="N28" s="57"/>
      <c r="O28" s="57"/>
      <c r="P28" s="57"/>
      <c r="Q28" s="57"/>
      <c r="R28" s="57"/>
      <c r="W28" s="57"/>
      <c r="X28" s="57"/>
    </row>
    <row r="29" spans="1:24">
      <c r="A29" s="227"/>
      <c r="B29" s="227"/>
      <c r="C29" s="227"/>
      <c r="D29" s="229"/>
      <c r="E29" s="229"/>
      <c r="F29" s="229"/>
      <c r="G29" s="229"/>
      <c r="H29" s="229"/>
      <c r="I29" s="229"/>
      <c r="J29" s="57"/>
      <c r="K29" s="57"/>
      <c r="L29" s="57"/>
      <c r="M29" s="57"/>
      <c r="N29" s="57"/>
      <c r="O29" s="57"/>
      <c r="P29" s="57"/>
      <c r="Q29" s="57"/>
      <c r="R29" s="57"/>
      <c r="W29" s="57"/>
      <c r="X29" s="57"/>
    </row>
    <row r="30" spans="1:24">
      <c r="A30" s="229"/>
      <c r="B30" s="227"/>
      <c r="C30" s="227"/>
      <c r="D30" s="229"/>
      <c r="E30" s="229"/>
      <c r="F30" s="229"/>
      <c r="G30" s="229"/>
      <c r="H30" s="229"/>
      <c r="I30" s="229"/>
      <c r="J30" s="57"/>
      <c r="K30" s="57"/>
      <c r="L30" s="57"/>
      <c r="M30" s="57"/>
      <c r="N30" s="57"/>
      <c r="O30" s="57"/>
      <c r="P30" s="57"/>
      <c r="Q30" s="57"/>
      <c r="R30" s="57"/>
      <c r="W30" s="57"/>
      <c r="X30" s="57"/>
    </row>
    <row r="31" spans="1:24">
      <c r="A31" s="229"/>
      <c r="B31" s="229"/>
      <c r="C31" s="227"/>
      <c r="D31" s="229"/>
      <c r="E31" s="229"/>
      <c r="F31" s="229"/>
      <c r="G31" s="229"/>
      <c r="H31" s="229"/>
      <c r="I31" s="229"/>
      <c r="J31" s="57"/>
      <c r="K31" s="57"/>
      <c r="L31" s="57"/>
      <c r="M31" s="57"/>
      <c r="N31" s="57"/>
      <c r="O31" s="57"/>
      <c r="P31" s="57"/>
      <c r="Q31" s="57"/>
      <c r="R31" s="57"/>
      <c r="W31" s="57"/>
      <c r="X31" s="57"/>
    </row>
    <row r="32" spans="1:24">
      <c r="A32" s="229"/>
      <c r="B32" s="229"/>
      <c r="C32" s="227"/>
      <c r="D32" s="229"/>
      <c r="E32" s="229"/>
      <c r="F32" s="229"/>
      <c r="G32" s="229"/>
      <c r="H32" s="229"/>
      <c r="I32" s="229"/>
      <c r="J32" s="57"/>
      <c r="K32" s="57"/>
      <c r="L32" s="57"/>
      <c r="M32" s="57"/>
      <c r="N32" s="57"/>
      <c r="O32" s="57"/>
      <c r="P32" s="57"/>
      <c r="Q32" s="57"/>
      <c r="R32" s="57"/>
      <c r="W32" s="57"/>
      <c r="X32" s="57"/>
    </row>
    <row r="33" spans="1:24">
      <c r="A33" s="229"/>
      <c r="B33" s="229"/>
      <c r="C33" s="227"/>
      <c r="D33" s="229"/>
      <c r="E33" s="229"/>
      <c r="F33" s="229"/>
      <c r="G33" s="229"/>
      <c r="H33" s="229"/>
      <c r="I33" s="229"/>
      <c r="J33" s="57"/>
      <c r="K33" s="57"/>
      <c r="L33" s="57"/>
      <c r="M33" s="57"/>
      <c r="N33" s="57"/>
      <c r="O33" s="57"/>
      <c r="P33" s="57"/>
      <c r="Q33" s="57"/>
      <c r="R33" s="57"/>
      <c r="W33" s="57"/>
      <c r="X33" s="57"/>
    </row>
    <row r="34" spans="1:24">
      <c r="A34" s="229"/>
      <c r="B34" s="229"/>
      <c r="C34" s="227"/>
      <c r="D34" s="229"/>
      <c r="E34" s="229"/>
      <c r="F34" s="227"/>
      <c r="G34" s="227"/>
      <c r="H34" s="229"/>
      <c r="I34" s="229"/>
      <c r="J34" s="57"/>
      <c r="K34" s="57"/>
      <c r="L34" s="57"/>
      <c r="M34" s="57"/>
      <c r="N34" s="57"/>
      <c r="O34" s="57"/>
      <c r="P34" s="57"/>
      <c r="Q34" s="57"/>
      <c r="R34" s="57"/>
      <c r="W34" s="57"/>
      <c r="X34" s="57"/>
    </row>
    <row r="35" spans="1:24">
      <c r="A35" s="229"/>
      <c r="B35" s="229"/>
      <c r="C35" s="227"/>
      <c r="D35" s="229"/>
      <c r="E35" s="229"/>
      <c r="F35" s="227"/>
      <c r="G35" s="227"/>
      <c r="H35" s="229"/>
      <c r="I35" s="229"/>
      <c r="J35" s="57"/>
      <c r="K35" s="57"/>
      <c r="L35" s="57"/>
      <c r="W35" s="57"/>
      <c r="X35" s="57"/>
    </row>
    <row r="36" spans="1:24">
      <c r="A36" s="229"/>
      <c r="B36" s="229"/>
      <c r="C36" s="227"/>
      <c r="D36" s="229"/>
      <c r="E36" s="229"/>
      <c r="F36" s="227"/>
      <c r="G36" s="227"/>
      <c r="H36" s="227"/>
      <c r="I36" s="227"/>
      <c r="S36" s="57"/>
      <c r="T36" s="57"/>
      <c r="U36" s="57"/>
      <c r="W36" s="57"/>
      <c r="X36" s="57"/>
    </row>
    <row r="37" spans="1:24">
      <c r="A37" s="229"/>
      <c r="B37" s="229"/>
      <c r="C37" s="227"/>
      <c r="D37" s="229"/>
      <c r="E37" s="229"/>
      <c r="F37" s="227"/>
      <c r="G37" s="227"/>
      <c r="H37" s="227"/>
      <c r="I37" s="227"/>
      <c r="S37" s="57"/>
      <c r="T37" s="57"/>
      <c r="U37" s="57"/>
      <c r="W37" s="57"/>
      <c r="X37" s="57"/>
    </row>
    <row r="38" spans="1:24">
      <c r="A38" s="229"/>
      <c r="B38" s="229"/>
      <c r="C38" s="227"/>
      <c r="D38" s="229"/>
      <c r="E38" s="229"/>
      <c r="F38" s="227"/>
      <c r="G38" s="227"/>
      <c r="H38" s="227"/>
      <c r="I38" s="227"/>
      <c r="S38" s="57"/>
      <c r="T38" s="57"/>
      <c r="U38" s="57"/>
      <c r="W38" s="57"/>
      <c r="X38" s="57"/>
    </row>
    <row r="39" spans="1:24">
      <c r="A39" s="229"/>
      <c r="B39" s="229"/>
      <c r="C39" s="227"/>
      <c r="D39" s="229"/>
      <c r="E39" s="229"/>
      <c r="F39" s="227"/>
      <c r="G39" s="227"/>
      <c r="H39" s="227"/>
      <c r="I39" s="227"/>
      <c r="S39" s="57"/>
      <c r="T39" s="58"/>
      <c r="U39" s="57"/>
      <c r="W39" s="57"/>
      <c r="X39" s="57"/>
    </row>
    <row r="40" spans="1:24">
      <c r="A40" s="229"/>
      <c r="B40" s="229"/>
      <c r="C40" s="227"/>
      <c r="D40" s="229"/>
      <c r="E40" s="229"/>
      <c r="F40" s="227"/>
      <c r="G40" s="227"/>
      <c r="H40" s="227"/>
      <c r="I40" s="227"/>
      <c r="S40" s="57"/>
      <c r="T40" s="58"/>
      <c r="U40" s="57"/>
      <c r="W40" s="57"/>
      <c r="X40" s="57"/>
    </row>
    <row r="41" spans="1:24">
      <c r="A41" s="229"/>
      <c r="B41" s="229"/>
      <c r="C41" s="227"/>
      <c r="D41" s="229"/>
      <c r="E41" s="229"/>
      <c r="F41" s="227"/>
      <c r="G41" s="227"/>
      <c r="H41" s="227"/>
      <c r="I41" s="227"/>
      <c r="W41" s="57"/>
      <c r="X41" s="57"/>
    </row>
    <row r="42" spans="1:24">
      <c r="A42" s="229"/>
      <c r="B42" s="229"/>
      <c r="C42" s="227"/>
      <c r="D42" s="229"/>
      <c r="E42" s="229"/>
      <c r="F42" s="227"/>
      <c r="G42" s="227"/>
      <c r="H42" s="227"/>
      <c r="I42" s="227"/>
      <c r="W42" s="57"/>
      <c r="X42" s="57"/>
    </row>
    <row r="43" spans="1:24">
      <c r="A43" s="229"/>
      <c r="B43" s="229"/>
      <c r="C43" s="227"/>
      <c r="D43" s="229"/>
      <c r="E43" s="229"/>
      <c r="F43" s="227"/>
      <c r="G43" s="227"/>
      <c r="H43" s="227"/>
      <c r="I43" s="227"/>
      <c r="W43" s="57"/>
      <c r="X43" s="57"/>
    </row>
    <row r="44" spans="1:24">
      <c r="A44" s="229"/>
      <c r="B44" s="229"/>
      <c r="C44" s="227"/>
      <c r="D44" s="229"/>
      <c r="E44" s="229"/>
      <c r="F44" s="227"/>
      <c r="G44" s="227"/>
      <c r="H44" s="227"/>
      <c r="I44" s="227"/>
      <c r="W44" s="57"/>
      <c r="X44" s="57"/>
    </row>
    <row r="45" spans="1:24">
      <c r="A45" s="229"/>
      <c r="B45" s="229"/>
      <c r="C45" s="227"/>
      <c r="D45" s="229"/>
      <c r="E45" s="229"/>
      <c r="F45" s="227"/>
      <c r="G45" s="227"/>
      <c r="H45" s="227"/>
      <c r="I45" s="227"/>
      <c r="W45" s="57"/>
      <c r="X45" s="57"/>
    </row>
    <row r="46" spans="1:24">
      <c r="A46" s="229"/>
      <c r="B46" s="229"/>
      <c r="C46" s="227"/>
      <c r="D46" s="229"/>
      <c r="E46" s="229"/>
      <c r="F46" s="227"/>
      <c r="G46" s="227"/>
      <c r="H46" s="227"/>
      <c r="I46" s="227"/>
      <c r="W46" s="57"/>
      <c r="X46" s="57"/>
    </row>
    <row r="47" spans="1:24">
      <c r="A47" s="229"/>
      <c r="B47" s="229"/>
      <c r="C47" s="227"/>
      <c r="D47" s="229"/>
      <c r="E47" s="229"/>
      <c r="F47" s="227"/>
      <c r="G47" s="227"/>
      <c r="H47" s="227"/>
      <c r="I47" s="227"/>
      <c r="W47" s="57"/>
      <c r="X47" s="57"/>
    </row>
    <row r="48" spans="1:24">
      <c r="A48" s="229"/>
      <c r="B48" s="229"/>
      <c r="C48" s="227"/>
      <c r="D48" s="229"/>
      <c r="E48" s="229"/>
      <c r="F48" s="227"/>
      <c r="G48" s="227"/>
      <c r="H48" s="227"/>
      <c r="I48" s="227"/>
      <c r="W48" s="57"/>
      <c r="X48" s="57"/>
    </row>
    <row r="49" spans="1:24">
      <c r="A49" s="57"/>
      <c r="B49" s="57"/>
      <c r="D49" s="57"/>
      <c r="E49" s="57"/>
      <c r="W49" s="57"/>
      <c r="X49" s="57"/>
    </row>
    <row r="50" spans="1:24">
      <c r="A50" s="57"/>
      <c r="B50" s="57"/>
      <c r="D50" s="57"/>
      <c r="E50" s="57"/>
      <c r="W50" s="57"/>
      <c r="X50" s="57"/>
    </row>
    <row r="51" spans="1:24">
      <c r="A51" s="57"/>
      <c r="B51" s="57"/>
      <c r="D51" s="57"/>
      <c r="E51" s="57"/>
      <c r="W51" s="57"/>
      <c r="X51" s="57"/>
    </row>
    <row r="52" spans="1:24">
      <c r="A52" s="57"/>
      <c r="B52" s="57"/>
      <c r="D52" s="57"/>
      <c r="E52" s="57"/>
      <c r="W52" s="57"/>
      <c r="X52" s="57"/>
    </row>
    <row r="53" spans="1:24">
      <c r="A53" s="57"/>
      <c r="B53" s="57"/>
      <c r="D53" s="57"/>
      <c r="E53" s="57"/>
      <c r="W53" s="57"/>
      <c r="X53" s="57"/>
    </row>
    <row r="54" spans="1:24">
      <c r="A54" s="57"/>
      <c r="B54" s="57"/>
      <c r="D54" s="57"/>
      <c r="E54" s="57"/>
      <c r="W54" s="57"/>
      <c r="X54" s="57"/>
    </row>
    <row r="55" spans="1:24">
      <c r="A55" s="57"/>
      <c r="B55" s="57"/>
      <c r="D55" s="57"/>
      <c r="E55" s="57"/>
      <c r="W55" s="57"/>
      <c r="X55" s="57"/>
    </row>
    <row r="56" spans="1:24">
      <c r="A56" s="57"/>
      <c r="B56" s="57"/>
      <c r="D56" s="57"/>
      <c r="E56" s="57"/>
      <c r="W56" s="57"/>
      <c r="X56" s="57"/>
    </row>
    <row r="57" spans="1:24">
      <c r="A57" s="57"/>
      <c r="B57" s="57"/>
      <c r="D57" s="57"/>
      <c r="E57" s="57"/>
    </row>
    <row r="58" spans="1:24">
      <c r="A58" s="57"/>
      <c r="B58" s="57"/>
      <c r="D58" s="57"/>
      <c r="E58" s="57"/>
    </row>
    <row r="59" spans="1:24">
      <c r="A59" s="57"/>
      <c r="B59" s="57"/>
      <c r="D59" s="57"/>
      <c r="E59" s="57"/>
    </row>
    <row r="60" spans="1:24">
      <c r="A60" s="57"/>
      <c r="B60" s="57"/>
      <c r="D60" s="57"/>
      <c r="E60" s="57"/>
    </row>
    <row r="61" spans="1:24">
      <c r="A61" s="57"/>
      <c r="B61" s="57"/>
      <c r="D61" s="57"/>
      <c r="E61" s="57"/>
    </row>
    <row r="62" spans="1:24">
      <c r="A62" s="57"/>
      <c r="B62" s="57"/>
    </row>
    <row r="63" spans="1:24">
      <c r="B63" s="57"/>
    </row>
  </sheetData>
  <mergeCells count="3">
    <mergeCell ref="B13:C13"/>
    <mergeCell ref="D6:D8"/>
    <mergeCell ref="A1:D1"/>
  </mergeCells>
  <phoneticPr fontId="7" type="noConversion"/>
  <dataValidations count="5">
    <dataValidation type="list" allowBlank="1" showInputMessage="1" showErrorMessage="1" sqref="B13:C13">
      <formula1>$H$2:$H$5</formula1>
    </dataValidation>
    <dataValidation type="list" allowBlank="1" showInputMessage="1" showErrorMessage="1" sqref="C4">
      <formula1>$F$2:$F$22</formula1>
    </dataValidation>
    <dataValidation type="list" allowBlank="1" showInputMessage="1" showErrorMessage="1" sqref="C5">
      <formula1>$J$2:$J$11</formula1>
    </dataValidation>
    <dataValidation type="list" allowBlank="1" showInputMessage="1" showErrorMessage="1" sqref="C7">
      <formula1>$M$2:$M$24</formula1>
    </dataValidation>
    <dataValidation type="list" allowBlank="1" showInputMessage="1" showErrorMessage="1" sqref="C8">
      <formula1>$N$1:$X$1</formula1>
    </dataValidation>
  </dataValidations>
  <pageMargins left="0.53" right="0.98425196850393704" top="0.28999999999999998" bottom="0.23" header="0.25" footer="0.32"/>
  <pageSetup paperSize="9" orientation="landscape" horizontalDpi="150" verticalDpi="15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82"/>
  <sheetViews>
    <sheetView tabSelected="1" zoomScale="75" workbookViewId="0">
      <selection sqref="A1:H1"/>
    </sheetView>
  </sheetViews>
  <sheetFormatPr defaultColWidth="14.85546875" defaultRowHeight="15"/>
  <cols>
    <col min="1" max="1" width="4" style="79" bestFit="1" customWidth="1"/>
    <col min="2" max="2" width="31.85546875" style="78" customWidth="1"/>
    <col min="3" max="3" width="12.5703125" style="78" customWidth="1"/>
    <col min="4" max="4" width="13.5703125" style="78" customWidth="1"/>
    <col min="5" max="5" width="14.28515625" style="78" customWidth="1"/>
    <col min="6" max="6" width="18.28515625" style="78" customWidth="1"/>
    <col min="7" max="9" width="14.28515625" style="78" customWidth="1"/>
    <col min="10" max="10" width="12" style="78" bestFit="1" customWidth="1"/>
    <col min="11" max="12" width="14.85546875" style="78"/>
    <col min="13" max="13" width="31.85546875" style="78" bestFit="1" customWidth="1"/>
    <col min="14" max="16384" width="14.85546875" style="78"/>
  </cols>
  <sheetData>
    <row r="1" spans="1:14" ht="30" customHeight="1">
      <c r="A1" s="236" t="s">
        <v>26</v>
      </c>
      <c r="B1" s="236"/>
      <c r="C1" s="236"/>
      <c r="D1" s="236"/>
      <c r="E1" s="236"/>
      <c r="F1" s="236"/>
      <c r="G1" s="236"/>
      <c r="H1" s="236"/>
      <c r="I1" s="123"/>
    </row>
    <row r="2" spans="1:14" ht="30" customHeight="1"/>
    <row r="3" spans="1:14" ht="78" customHeight="1" thickBot="1">
      <c r="A3" s="10" t="s">
        <v>14</v>
      </c>
      <c r="B3" s="10" t="s">
        <v>23</v>
      </c>
      <c r="C3" s="10" t="s">
        <v>124</v>
      </c>
      <c r="D3" s="11" t="s">
        <v>20</v>
      </c>
      <c r="E3" s="151" t="s">
        <v>19</v>
      </c>
      <c r="F3" s="151" t="s">
        <v>21</v>
      </c>
      <c r="G3" s="151" t="s">
        <v>22</v>
      </c>
      <c r="H3" s="151" t="s">
        <v>59</v>
      </c>
      <c r="I3" s="151" t="s">
        <v>97</v>
      </c>
      <c r="J3" s="151" t="s">
        <v>98</v>
      </c>
      <c r="K3" s="151" t="s">
        <v>126</v>
      </c>
      <c r="L3" s="169" t="s">
        <v>142</v>
      </c>
      <c r="M3" s="152" t="s">
        <v>125</v>
      </c>
      <c r="N3" s="152" t="s">
        <v>99</v>
      </c>
    </row>
    <row r="4" spans="1:14" ht="21.75" customHeight="1" thickTop="1">
      <c r="A4" s="80">
        <v>1</v>
      </c>
      <c r="B4" s="90" t="s">
        <v>181</v>
      </c>
      <c r="C4" s="109">
        <v>3</v>
      </c>
      <c r="D4" s="109"/>
      <c r="E4" s="149" t="str">
        <f>IF($D4=0,"",VLOOKUP($B4,'Feed database'!$B$7:$Q$106,3,FALSE)/100*$D4)</f>
        <v/>
      </c>
      <c r="F4" s="149" t="str">
        <f>IF($D4=0,"",VLOOKUP($B4,'Feed database'!$B$7:$Q$106,5,FALSE)*$E4)</f>
        <v/>
      </c>
      <c r="G4" s="149" t="str">
        <f>IF($D4=0,"",VLOOKUP($B4,'Feed database'!$B$7:$Q$106,7,FALSE)/100*$E4)</f>
        <v/>
      </c>
      <c r="H4" s="149" t="str">
        <f>IF($D4=0,"",VLOOKUP($B4,'Feed database'!$B$7:$Q$106,9,FALSE)/100*$E4)</f>
        <v/>
      </c>
      <c r="I4" s="149" t="str">
        <f>IF($D4=0,"",VLOOKUP($B4,'Feed database'!$B$7:$Q$106,11,FALSE)/100*$E4*1000)</f>
        <v/>
      </c>
      <c r="J4" s="149" t="str">
        <f>IF($D4=0,"",VLOOKUP($B4,'Feed database'!$B$7:$Q$106,13,FALSE)/100*$E4*1000)</f>
        <v/>
      </c>
      <c r="K4" s="149" t="str">
        <f>IF($D4=0,"",VLOOKUP($B4,'Feed database'!$B$7:$Q$106,15,FALSE)*$E4/100)</f>
        <v/>
      </c>
      <c r="L4" s="13"/>
      <c r="M4" s="150">
        <f>VLOOKUP(B4,'Feed database'!$B$7:$C$106,2,FALSE)</f>
        <v>28</v>
      </c>
      <c r="N4" s="150">
        <f t="shared" ref="N4:N29" si="0">IF(M4="",0,M4*D4)</f>
        <v>0</v>
      </c>
    </row>
    <row r="5" spans="1:14" s="83" customFormat="1" ht="21" customHeight="1">
      <c r="A5" s="82">
        <v>2</v>
      </c>
      <c r="B5" s="91" t="s">
        <v>184</v>
      </c>
      <c r="C5" s="110">
        <v>30</v>
      </c>
      <c r="D5" s="110">
        <v>20</v>
      </c>
      <c r="E5" s="149">
        <f>IF($D5=0,"",VLOOKUP($B5,'Feed database'!$B$7:$Q$106,3,FALSE)/100*$D5)</f>
        <v>4</v>
      </c>
      <c r="F5" s="149">
        <f>IF($D5=0,"",VLOOKUP($B5,'Feed database'!$B$7:$Q$106,5,FALSE)*$E5)</f>
        <v>37.200000000000003</v>
      </c>
      <c r="G5" s="149">
        <f>IF($D5=0,"",VLOOKUP($B5,'Feed database'!$B$7:$Q$106,7,FALSE)/100*$E5)</f>
        <v>0.48</v>
      </c>
      <c r="H5" s="149">
        <f>IF($D5=0,"",VLOOKUP($B5,'Feed database'!$B$7:$Q$106,9,FALSE)/100*$E5)</f>
        <v>2.2400000000000002</v>
      </c>
      <c r="I5" s="149">
        <f>IF($D5=0,"",VLOOKUP($B5,'Feed database'!$B$7:$Q$106,11,FALSE)/100*$E5*1000)</f>
        <v>11.6</v>
      </c>
      <c r="J5" s="149">
        <f>IF($D5=0,"",VLOOKUP($B5,'Feed database'!$B$7:$Q$106,13,FALSE)/100*$E5*1000)</f>
        <v>9.6</v>
      </c>
      <c r="K5" s="149">
        <f>IF($D5=0,"",VLOOKUP($B5,'Feed database'!$B$7:$Q$106,15,FALSE)*$E5/100)</f>
        <v>0</v>
      </c>
      <c r="L5" s="81"/>
      <c r="M5" s="149">
        <f>VLOOKUP(B5,'Feed database'!$B$7:$C$106,2,FALSE)</f>
        <v>3</v>
      </c>
      <c r="N5" s="149">
        <f t="shared" si="0"/>
        <v>60</v>
      </c>
    </row>
    <row r="6" spans="1:14" ht="23.25" customHeight="1">
      <c r="A6" s="82">
        <v>3</v>
      </c>
      <c r="B6" s="91" t="s">
        <v>164</v>
      </c>
      <c r="C6" s="110">
        <v>30</v>
      </c>
      <c r="D6" s="110">
        <v>14</v>
      </c>
      <c r="E6" s="149">
        <f>IF($D6=0,"",VLOOKUP($B6,'Feed database'!$B$7:$Q$106,3,FALSE)/100*$D6)</f>
        <v>4.4800000000000004</v>
      </c>
      <c r="F6" s="149">
        <f>IF($D6=0,"",VLOOKUP($B6,'Feed database'!$B$7:$Q$106,5,FALSE)*$E6)</f>
        <v>48.384000000000007</v>
      </c>
      <c r="G6" s="149">
        <f>IF($D6=0,"",VLOOKUP($B6,'Feed database'!$B$7:$Q$106,7,FALSE)/100*$E6)</f>
        <v>0.33600000000000002</v>
      </c>
      <c r="H6" s="149">
        <f>IF($D6=0,"",VLOOKUP($B6,'Feed database'!$B$7:$Q$106,9,FALSE)/100*$E6)</f>
        <v>2.0160000000000005</v>
      </c>
      <c r="I6" s="149">
        <f>IF($D6=0,"",VLOOKUP($B6,'Feed database'!$B$7:$Q$106,11,FALSE)/100*$E6*1000)</f>
        <v>9.8560000000000016</v>
      </c>
      <c r="J6" s="149">
        <f>IF($D6=0,"",VLOOKUP($B6,'Feed database'!$B$7:$Q$106,13,FALSE)/100*$E6*1000)</f>
        <v>11.648</v>
      </c>
      <c r="K6" s="149">
        <f>IF($D6=0,"",VLOOKUP($B6,'Feed database'!$B$7:$Q$106,15,FALSE)*$E6/100)</f>
        <v>0</v>
      </c>
      <c r="L6" s="13"/>
      <c r="M6" s="149">
        <f>VLOOKUP(B6,'Feed database'!$B$7:$C$106,2,FALSE)</f>
        <v>7</v>
      </c>
      <c r="N6" s="149">
        <f t="shared" si="0"/>
        <v>98</v>
      </c>
    </row>
    <row r="7" spans="1:14" ht="23.25" customHeight="1">
      <c r="A7" s="82">
        <v>3</v>
      </c>
      <c r="B7" s="91" t="s">
        <v>173</v>
      </c>
      <c r="C7" s="110">
        <v>30</v>
      </c>
      <c r="D7" s="110">
        <v>14</v>
      </c>
      <c r="E7" s="149">
        <f>IF($D7=0,"",VLOOKUP($B7,'Feed database'!$B$7:$Q$106,3,FALSE)/100*$D7)</f>
        <v>12.46</v>
      </c>
      <c r="F7" s="149">
        <f>IF($D7=0,"",VLOOKUP($B7,'Feed database'!$B$7:$Q$106,5,FALSE)*$E7)</f>
        <v>102.0474</v>
      </c>
      <c r="G7" s="149">
        <f>IF($D7=0,"",VLOOKUP($B7,'Feed database'!$B$7:$Q$106,7,FALSE)/100*$E7)</f>
        <v>2.9904000000000002</v>
      </c>
      <c r="H7" s="149">
        <f>IF($D7=0,"",VLOOKUP($B7,'Feed database'!$B$7:$Q$106,9,FALSE)/100*$E7)</f>
        <v>3.9872000000000005</v>
      </c>
      <c r="I7" s="149">
        <f>IF($D7=0,"",VLOOKUP($B7,'Feed database'!$B$7:$Q$106,11,FALSE)/100*$E7*1000)</f>
        <v>19.936000000000003</v>
      </c>
      <c r="J7" s="149">
        <f>IF($D7=0,"",VLOOKUP($B7,'Feed database'!$B$7:$Q$106,13,FALSE)/100*$E7*1000)</f>
        <v>118.37</v>
      </c>
      <c r="K7" s="149">
        <f>IF($D7=0,"",VLOOKUP($B7,'Feed database'!$B$7:$Q$106,15,FALSE)*$E7/100)</f>
        <v>11.089400000000001</v>
      </c>
      <c r="L7" s="13"/>
      <c r="M7" s="149">
        <f>VLOOKUP(B7,'Feed database'!$B$7:$C$106,2,FALSE)</f>
        <v>29</v>
      </c>
      <c r="N7" s="149">
        <f t="shared" ref="N7" si="1">IF(M7="",0,M7*D7)</f>
        <v>406</v>
      </c>
    </row>
    <row r="8" spans="1:14" ht="21" customHeight="1">
      <c r="A8" s="82">
        <v>5</v>
      </c>
      <c r="B8" s="91" t="s">
        <v>165</v>
      </c>
      <c r="C8" s="110">
        <v>3</v>
      </c>
      <c r="D8" s="110"/>
      <c r="E8" s="149" t="str">
        <f>IF($D8=0,"",VLOOKUP($B8,'Feed database'!$B$7:$Q$106,3,FALSE)/100*$D8)</f>
        <v/>
      </c>
      <c r="F8" s="149" t="str">
        <f>IF($D8=0,"",VLOOKUP($B8,'Feed database'!$B$7:$Q$106,5,FALSE)*$E8)</f>
        <v/>
      </c>
      <c r="G8" s="149" t="str">
        <f>IF($D8=0,"",VLOOKUP($B8,'Feed database'!$B$7:$Q$106,7,FALSE)/100*$E8)</f>
        <v/>
      </c>
      <c r="H8" s="149" t="str">
        <f>IF($D8=0,"",VLOOKUP($B8,'Feed database'!$B$7:$Q$106,9,FALSE)/100*$E8)</f>
        <v/>
      </c>
      <c r="I8" s="149" t="str">
        <f>IF($D8=0,"",VLOOKUP($B8,'Feed database'!$B$7:$Q$106,11,FALSE)/100*$E8*1000)</f>
        <v/>
      </c>
      <c r="J8" s="149" t="str">
        <f>IF($D8=0,"",VLOOKUP($B8,'Feed database'!$B$7:$Q$106,13,FALSE)/100*$E8*1000)</f>
        <v/>
      </c>
      <c r="K8" s="149" t="str">
        <f>IF($D8=0,"",VLOOKUP($B8,'Feed database'!$B$7:$Q$106,15,FALSE)*$E8/100)</f>
        <v/>
      </c>
      <c r="L8" s="13"/>
      <c r="M8" s="149">
        <f>VLOOKUP(B8,'Feed database'!$B$7:$C$106,2,FALSE)</f>
        <v>39</v>
      </c>
      <c r="N8" s="149">
        <f>IF(M8="",0,M8*D8)</f>
        <v>0</v>
      </c>
    </row>
    <row r="9" spans="1:14" ht="15.75" customHeight="1">
      <c r="A9" s="82">
        <v>6</v>
      </c>
      <c r="B9" s="91" t="s">
        <v>167</v>
      </c>
      <c r="C9" s="110">
        <v>3</v>
      </c>
      <c r="D9" s="110"/>
      <c r="E9" s="149" t="str">
        <f>IF($D9=0,"",VLOOKUP($B9,'Feed database'!$B$7:$Q$106,3,FALSE)/100*$D9)</f>
        <v/>
      </c>
      <c r="F9" s="149" t="str">
        <f>IF($D9=0,"",VLOOKUP($B9,'Feed database'!$B$7:$Q$106,5,FALSE)*$E9)</f>
        <v/>
      </c>
      <c r="G9" s="149" t="str">
        <f>IF($D9=0,"",VLOOKUP($B9,'Feed database'!$B$7:$Q$106,7,FALSE)/100*$E9)</f>
        <v/>
      </c>
      <c r="H9" s="149" t="str">
        <f>IF($D9=0,"",VLOOKUP($B9,'Feed database'!$B$7:$Q$106,9,FALSE)/100*$E9)</f>
        <v/>
      </c>
      <c r="I9" s="149" t="str">
        <f>IF($D9=0,"",VLOOKUP($B9,'Feed database'!$B$7:$Q$106,11,FALSE)/100*$E9*1000)</f>
        <v/>
      </c>
      <c r="J9" s="149" t="str">
        <f>IF($D9=0,"",VLOOKUP($B9,'Feed database'!$B$7:$Q$106,13,FALSE)/100*$E9*1000)</f>
        <v/>
      </c>
      <c r="K9" s="149" t="str">
        <f>IF($D9=0,"",VLOOKUP($B9,'Feed database'!$B$7:$Q$106,15,FALSE)*$E9/100)</f>
        <v/>
      </c>
      <c r="L9" s="13"/>
      <c r="M9" s="149">
        <f>VLOOKUP(B9,'Feed database'!$B$7:$C$106,2,FALSE)</f>
        <v>27</v>
      </c>
      <c r="N9" s="149">
        <f>IF(M9="",0,M9*D9)</f>
        <v>0</v>
      </c>
    </row>
    <row r="10" spans="1:14" ht="21.75" customHeight="1">
      <c r="A10" s="82">
        <v>7</v>
      </c>
      <c r="B10" s="91" t="s">
        <v>168</v>
      </c>
      <c r="C10" s="110">
        <v>3</v>
      </c>
      <c r="D10" s="110"/>
      <c r="E10" s="149" t="str">
        <f>IF($D10=0,"",VLOOKUP($B10,'Feed database'!$B$7:$Q$106,3,FALSE)/100*$D10)</f>
        <v/>
      </c>
      <c r="F10" s="149" t="str">
        <f>IF($D10=0,"",VLOOKUP($B10,'Feed database'!$B$7:$Q$106,5,FALSE)*$E10)</f>
        <v/>
      </c>
      <c r="G10" s="149" t="str">
        <f>IF($D10=0,"",VLOOKUP($B10,'Feed database'!$B$7:$Q$106,7,FALSE)/100*$E10)</f>
        <v/>
      </c>
      <c r="H10" s="149" t="str">
        <f>IF($D10=0,"",VLOOKUP($B10,'Feed database'!$B$7:$Q$106,9,FALSE)/100*$E10)</f>
        <v/>
      </c>
      <c r="I10" s="149" t="str">
        <f>IF($D10=0,"",VLOOKUP($B10,'Feed database'!$B$7:$Q$106,11,FALSE)/100*$E10*1000)</f>
        <v/>
      </c>
      <c r="J10" s="149" t="str">
        <f>IF($D10=0,"",VLOOKUP($B10,'Feed database'!$B$7:$Q$106,13,FALSE)/100*$E10*1000)</f>
        <v/>
      </c>
      <c r="K10" s="149" t="str">
        <f>IF($D10=0,"",VLOOKUP($B10,'Feed database'!$B$7:$Q$106,15,FALSE)*$E10/100)</f>
        <v/>
      </c>
      <c r="L10" s="13"/>
      <c r="M10" s="149">
        <f>VLOOKUP(B10,'Feed database'!$B$7:$C$106,2,FALSE)</f>
        <v>23</v>
      </c>
      <c r="N10" s="149">
        <f>IF(M10="",0,M10*D10)</f>
        <v>0</v>
      </c>
    </row>
    <row r="11" spans="1:14" ht="21" customHeight="1">
      <c r="A11" s="82">
        <v>8</v>
      </c>
      <c r="B11" s="91" t="s">
        <v>163</v>
      </c>
      <c r="C11" s="110">
        <v>3</v>
      </c>
      <c r="D11" s="110"/>
      <c r="E11" s="149" t="str">
        <f>IF($D11=0,"",VLOOKUP($B11,'Feed database'!$B$7:$Q$106,3,FALSE)/100*$D11)</f>
        <v/>
      </c>
      <c r="F11" s="149" t="str">
        <f>IF($D11=0,"",VLOOKUP($B11,'Feed database'!$B$7:$Q$106,5,FALSE)*$E11)</f>
        <v/>
      </c>
      <c r="G11" s="149" t="str">
        <f>IF($D11=0,"",VLOOKUP($B11,'Feed database'!$B$7:$Q$106,7,FALSE)/100*$E11)</f>
        <v/>
      </c>
      <c r="H11" s="149" t="str">
        <f>IF($D11=0,"",VLOOKUP($B11,'Feed database'!$B$7:$Q$106,9,FALSE)/100*$E11)</f>
        <v/>
      </c>
      <c r="I11" s="149" t="str">
        <f>IF($D11=0,"",VLOOKUP($B11,'Feed database'!$B$7:$Q$106,11,FALSE)/100*$E11*1000)</f>
        <v/>
      </c>
      <c r="J11" s="149" t="str">
        <f>IF($D11=0,"",VLOOKUP($B11,'Feed database'!$B$7:$Q$106,13,FALSE)/100*$E11*1000)</f>
        <v/>
      </c>
      <c r="K11" s="149" t="str">
        <f>IF($D11=0,"",VLOOKUP($B11,'Feed database'!$B$7:$Q$106,15,FALSE)*$E11/100)</f>
        <v/>
      </c>
      <c r="L11" s="13"/>
      <c r="M11" s="149">
        <f>VLOOKUP(B11,'Feed database'!$B$7:$C$106,2,FALSE)</f>
        <v>14</v>
      </c>
      <c r="N11" s="149">
        <f t="shared" si="0"/>
        <v>0</v>
      </c>
    </row>
    <row r="12" spans="1:14">
      <c r="A12" s="82">
        <v>9</v>
      </c>
      <c r="B12" s="91" t="s">
        <v>166</v>
      </c>
      <c r="C12" s="110">
        <v>3</v>
      </c>
      <c r="D12" s="110">
        <v>1.42</v>
      </c>
      <c r="E12" s="149">
        <f>IF($D12=0,"",VLOOKUP($B12,'Feed database'!$B$7:$Q$106,3,FALSE)/100*$D12)</f>
        <v>1.2638</v>
      </c>
      <c r="F12" s="149">
        <f>IF($D12=0,"",VLOOKUP($B12,'Feed database'!$B$7:$Q$106,5,FALSE)*$E12)</f>
        <v>11.576408000000001</v>
      </c>
      <c r="G12" s="149">
        <f>IF($D12=0,"",VLOOKUP($B12,'Feed database'!$B$7:$Q$106,7,FALSE)/100*$E12)</f>
        <v>0.56871000000000005</v>
      </c>
      <c r="H12" s="149">
        <f>IF($D12=0,"",VLOOKUP($B12,'Feed database'!$B$7:$Q$106,9,FALSE)/100*$E12)</f>
        <v>0.113742</v>
      </c>
      <c r="I12" s="149">
        <f>IF($D12=0,"",VLOOKUP($B12,'Feed database'!$B$7:$Q$106,11,FALSE)/100*$E12*1000)</f>
        <v>2.7803600000000004</v>
      </c>
      <c r="J12" s="149">
        <f>IF($D12=0,"",VLOOKUP($B12,'Feed database'!$B$7:$Q$106,13,FALSE)/100*$E12*1000)</f>
        <v>7.9619400000000002</v>
      </c>
      <c r="K12" s="149">
        <f>IF($D12=0,"",VLOOKUP($B12,'Feed database'!$B$7:$Q$106,15,FALSE)*$E12/100)</f>
        <v>1.1247819999999999</v>
      </c>
      <c r="L12" s="13"/>
      <c r="M12" s="149">
        <f>VLOOKUP(B12,'Feed database'!$B$7:$C$106,2,FALSE)</f>
        <v>52</v>
      </c>
      <c r="N12" s="149">
        <f t="shared" si="0"/>
        <v>73.84</v>
      </c>
    </row>
    <row r="13" spans="1:14">
      <c r="A13" s="82">
        <v>10</v>
      </c>
      <c r="B13" s="91" t="s">
        <v>169</v>
      </c>
      <c r="C13" s="110">
        <v>3</v>
      </c>
      <c r="D13" s="110"/>
      <c r="E13" s="149" t="str">
        <f>IF($D13=0,"",VLOOKUP($B13,'Feed database'!$B$7:$Q$106,3,FALSE)/100*$D13)</f>
        <v/>
      </c>
      <c r="F13" s="149" t="str">
        <f>IF($D13=0,"",VLOOKUP($B13,'Feed database'!$B$7:$Q$106,5,FALSE)*$E13)</f>
        <v/>
      </c>
      <c r="G13" s="149" t="str">
        <f>IF($D13=0,"",VLOOKUP($B13,'Feed database'!$B$7:$Q$106,7,FALSE)/100*$E13)</f>
        <v/>
      </c>
      <c r="H13" s="149" t="str">
        <f>IF($D13=0,"",VLOOKUP($B13,'Feed database'!$B$7:$Q$106,9,FALSE)/100*$E13)</f>
        <v/>
      </c>
      <c r="I13" s="149" t="str">
        <f>IF($D13=0,"",VLOOKUP($B13,'Feed database'!$B$7:$Q$106,11,FALSE)/100*$E13*1000)</f>
        <v/>
      </c>
      <c r="J13" s="149" t="str">
        <f>IF($D13=0,"",VLOOKUP($B13,'Feed database'!$B$7:$Q$106,13,FALSE)/100*$E13*1000)</f>
        <v/>
      </c>
      <c r="K13" s="149" t="str">
        <f>IF($D13=0,"",VLOOKUP($B13,'Feed database'!$B$7:$Q$106,15,FALSE)*$E13/100)</f>
        <v/>
      </c>
      <c r="L13" s="13"/>
      <c r="M13" s="149">
        <f>VLOOKUP(B13,'Feed database'!$B$7:$C$106,2,FALSE)</f>
        <v>25</v>
      </c>
      <c r="N13" s="149">
        <f t="shared" si="0"/>
        <v>0</v>
      </c>
    </row>
    <row r="14" spans="1:14">
      <c r="A14" s="173">
        <v>11</v>
      </c>
      <c r="B14" s="174" t="s">
        <v>185</v>
      </c>
      <c r="C14" s="175">
        <v>3</v>
      </c>
      <c r="D14" s="110"/>
      <c r="E14" s="149" t="str">
        <f>IF($D14=0,"",VLOOKUP($B14,'Feed database'!$B$7:$Q$106,3,FALSE)/100*$D14)</f>
        <v/>
      </c>
      <c r="F14" s="149" t="str">
        <f>IF($D14=0,"",VLOOKUP($B14,'Feed database'!$B$7:$Q$106,5,FALSE)*$E14)</f>
        <v/>
      </c>
      <c r="G14" s="149" t="str">
        <f>IF($D14=0,"",VLOOKUP($B14,'Feed database'!$B$7:$Q$106,7,FALSE)/100*$E14)</f>
        <v/>
      </c>
      <c r="H14" s="149" t="str">
        <f>IF($D14=0,"",VLOOKUP($B14,'Feed database'!$B$7:$Q$106,9,FALSE)/100*$E14)</f>
        <v/>
      </c>
      <c r="I14" s="149" t="str">
        <f>IF($D14=0,"",VLOOKUP($B14,'Feed database'!$B$7:$Q$106,11,FALSE)/100*$E14*1000)</f>
        <v/>
      </c>
      <c r="J14" s="149" t="str">
        <f>IF($D14=0,"",VLOOKUP($B14,'Feed database'!$B$7:$Q$106,13,FALSE)/100*$E14*1000)</f>
        <v/>
      </c>
      <c r="K14" s="149" t="str">
        <f>IF($D14=0,"",VLOOKUP($B14,'Feed database'!$B$7:$Q$106,15,FALSE)*$E14/100)</f>
        <v/>
      </c>
      <c r="L14" s="13"/>
      <c r="M14" s="149">
        <f>VLOOKUP(B14,'Feed database'!$B$7:$C$106,2,FALSE)</f>
        <v>22</v>
      </c>
      <c r="N14" s="149">
        <f t="shared" si="0"/>
        <v>0</v>
      </c>
    </row>
    <row r="15" spans="1:14">
      <c r="A15" s="173">
        <v>12</v>
      </c>
      <c r="B15" s="91" t="s">
        <v>175</v>
      </c>
      <c r="C15" s="110">
        <v>3</v>
      </c>
      <c r="D15" s="110"/>
      <c r="E15" s="149" t="str">
        <f>IF($D15=0,"",VLOOKUP($B15,'Feed database'!$B$7:$Q$106,3,FALSE)/100*$D15)</f>
        <v/>
      </c>
      <c r="F15" s="149" t="str">
        <f>IF($D15=0,"",VLOOKUP($B15,'Feed database'!$B$7:$Q$106,5,FALSE)*$E15)</f>
        <v/>
      </c>
      <c r="G15" s="149" t="str">
        <f>IF($D15=0,"",VLOOKUP($B15,'Feed database'!$B$7:$Q$106,7,FALSE)/100*$E15)</f>
        <v/>
      </c>
      <c r="H15" s="149" t="str">
        <f>IF($D15=0,"",VLOOKUP($B15,'Feed database'!$B$7:$Q$106,9,FALSE)/100*$E15)</f>
        <v/>
      </c>
      <c r="I15" s="149" t="str">
        <f>IF($D15=0,"",VLOOKUP($B15,'Feed database'!$B$7:$Q$106,11,FALSE)/100*$E15*1000)</f>
        <v/>
      </c>
      <c r="J15" s="149" t="str">
        <f>IF($D15=0,"",VLOOKUP($B15,'Feed database'!$B$7:$Q$106,13,FALSE)/100*$E15*1000)</f>
        <v/>
      </c>
      <c r="K15" s="149" t="str">
        <f>IF($D15=0,"",VLOOKUP($B15,'Feed database'!$B$7:$Q$106,15,FALSE)*$E15/100)</f>
        <v/>
      </c>
      <c r="L15" s="13"/>
      <c r="M15" s="149">
        <f>VLOOKUP(B15,'Feed database'!$B$7:$C$106,2,FALSE)</f>
        <v>36</v>
      </c>
      <c r="N15" s="149">
        <f t="shared" si="0"/>
        <v>0</v>
      </c>
    </row>
    <row r="16" spans="1:14">
      <c r="A16" s="173">
        <v>13</v>
      </c>
      <c r="B16" s="91" t="s">
        <v>39</v>
      </c>
      <c r="C16" s="110">
        <v>3</v>
      </c>
      <c r="D16" s="110">
        <v>4.32</v>
      </c>
      <c r="E16" s="149">
        <f>IF($D16=0,"",VLOOKUP($B16,'Feed database'!$B$7:$Q$106,3,FALSE)/100*$D16)</f>
        <v>3.8448000000000002</v>
      </c>
      <c r="F16" s="149">
        <f>IF($D16=0,"",VLOOKUP($B16,'Feed database'!$B$7:$Q$106,5,FALSE)*$E16)</f>
        <v>47.214143999999997</v>
      </c>
      <c r="G16" s="149">
        <f>IF($D16=0,"",VLOOKUP($B16,'Feed database'!$B$7:$Q$106,7,FALSE)/100*$E16)</f>
        <v>0.34603200000000001</v>
      </c>
      <c r="H16" s="149">
        <f>IF($D16=0,"",VLOOKUP($B16,'Feed database'!$B$7:$Q$106,9,FALSE)/100*$E16)</f>
        <v>0.49982400000000005</v>
      </c>
      <c r="I16" s="149">
        <f>IF($D16=0,"",VLOOKUP($B16,'Feed database'!$B$7:$Q$106,11,FALSE)/100*$E16*1000)</f>
        <v>1.9224000000000001</v>
      </c>
      <c r="J16" s="149">
        <f>IF($D16=0,"",VLOOKUP($B16,'Feed database'!$B$7:$Q$106,13,FALSE)/100*$E16*1000)</f>
        <v>11.5344</v>
      </c>
      <c r="K16" s="149">
        <f>IF($D16=0,"",VLOOKUP($B16,'Feed database'!$B$7:$Q$106,15,FALSE)*$E16/100)</f>
        <v>3.421872</v>
      </c>
      <c r="L16" s="13"/>
      <c r="M16" s="149">
        <f>VLOOKUP(B16,'Feed database'!$B$7:$C$106,2,FALSE)</f>
        <v>19</v>
      </c>
      <c r="N16" s="149">
        <f t="shared" si="0"/>
        <v>82.080000000000013</v>
      </c>
    </row>
    <row r="17" spans="1:14">
      <c r="A17" s="173">
        <v>14</v>
      </c>
      <c r="B17" s="91" t="s">
        <v>183</v>
      </c>
      <c r="C17" s="110">
        <v>3</v>
      </c>
      <c r="D17" s="110"/>
      <c r="E17" s="149" t="str">
        <f>IF($D17=0,"",VLOOKUP($B17,'Feed database'!$B$7:$Q$106,3,FALSE)/100*$D17)</f>
        <v/>
      </c>
      <c r="F17" s="149" t="str">
        <f>IF($D17=0,"",VLOOKUP($B17,'Feed database'!$B$7:$Q$106,5,FALSE)*$E17)</f>
        <v/>
      </c>
      <c r="G17" s="149" t="str">
        <f>IF($D17=0,"",VLOOKUP($B17,'Feed database'!$B$7:$Q$106,7,FALSE)/100*$E17)</f>
        <v/>
      </c>
      <c r="H17" s="149" t="str">
        <f>IF($D17=0,"",VLOOKUP($B17,'Feed database'!$B$7:$Q$106,9,FALSE)/100*$E17)</f>
        <v/>
      </c>
      <c r="I17" s="149" t="str">
        <f>IF($D17=0,"",VLOOKUP($B17,'Feed database'!$B$7:$Q$106,11,FALSE)/100*$E17*1000)</f>
        <v/>
      </c>
      <c r="J17" s="149" t="str">
        <f>IF($D17=0,"",VLOOKUP($B17,'Feed database'!$B$7:$Q$106,13,FALSE)/100*$E17*1000)</f>
        <v/>
      </c>
      <c r="K17" s="149" t="str">
        <f>IF($D17=0,"",VLOOKUP($B17,'Feed database'!$B$7:$Q$106,15,FALSE)*$E17/100)</f>
        <v/>
      </c>
      <c r="L17" s="13"/>
      <c r="M17" s="149">
        <f>VLOOKUP(B17,'Feed database'!$B$7:$C$106,2,FALSE)</f>
        <v>30</v>
      </c>
      <c r="N17" s="149">
        <f t="shared" si="0"/>
        <v>0</v>
      </c>
    </row>
    <row r="18" spans="1:14">
      <c r="A18" s="173">
        <v>15</v>
      </c>
      <c r="B18" s="91" t="s">
        <v>170</v>
      </c>
      <c r="C18" s="110">
        <v>3</v>
      </c>
      <c r="D18" s="110">
        <v>2.8</v>
      </c>
      <c r="E18" s="149">
        <f>IF($D18=0,"",VLOOKUP($B18,'Feed database'!$B$7:$Q$106,3,FALSE)/100*$D18)</f>
        <v>2.492</v>
      </c>
      <c r="F18" s="149">
        <f>IF($D18=0,"",VLOOKUP($B18,'Feed database'!$B$7:$Q$106,5,FALSE)*$E18)</f>
        <v>24.12256</v>
      </c>
      <c r="G18" s="149">
        <f>IF($D18=0,"",VLOOKUP($B18,'Feed database'!$B$7:$Q$106,7,FALSE)/100*$E18)</f>
        <v>0.39872000000000002</v>
      </c>
      <c r="H18" s="149">
        <f>IF($D18=0,"",VLOOKUP($B18,'Feed database'!$B$7:$Q$106,9,FALSE)/100*$E18)</f>
        <v>1.5948800000000001</v>
      </c>
      <c r="I18" s="149">
        <f>IF($D18=0,"",VLOOKUP($B18,'Feed database'!$B$7:$Q$106,11,FALSE)/100*$E18*1000)</f>
        <v>4.2364000000000006</v>
      </c>
      <c r="J18" s="149">
        <f>IF($D18=0,"",VLOOKUP($B18,'Feed database'!$B$7:$Q$106,13,FALSE)/100*$E18*1000)</f>
        <v>23.175599999999999</v>
      </c>
      <c r="K18" s="149">
        <f>IF($D18=0,"",VLOOKUP($B18,'Feed database'!$B$7:$Q$106,15,FALSE)*$E18/100)</f>
        <v>2.2178800000000001</v>
      </c>
      <c r="L18" s="13"/>
      <c r="M18" s="149">
        <f>VLOOKUP(B18,'Feed database'!$B$7:$C$106,2,FALSE)</f>
        <v>21</v>
      </c>
      <c r="N18" s="149">
        <f t="shared" si="0"/>
        <v>58.8</v>
      </c>
    </row>
    <row r="19" spans="1:14">
      <c r="A19" s="173">
        <v>16</v>
      </c>
      <c r="B19" s="91" t="s">
        <v>171</v>
      </c>
      <c r="C19" s="110">
        <v>3</v>
      </c>
      <c r="D19" s="110">
        <v>4</v>
      </c>
      <c r="E19" s="149">
        <f>IF($D19=0,"",VLOOKUP($B19,'Feed database'!$B$7:$Q$106,3,FALSE)/100*$D19)</f>
        <v>3.56</v>
      </c>
      <c r="F19" s="149">
        <f>IF($D19=0,"",VLOOKUP($B19,'Feed database'!$B$7:$Q$106,5,FALSE)*$E19)</f>
        <v>20.648</v>
      </c>
      <c r="G19" s="149">
        <f>IF($D19=0,"",VLOOKUP($B19,'Feed database'!$B$7:$Q$106,7,FALSE)/100*$E19)</f>
        <v>0.11748</v>
      </c>
      <c r="H19" s="149">
        <f>IF($D19=0,"",VLOOKUP($B19,'Feed database'!$B$7:$Q$106,9,FALSE)/100*$E19)</f>
        <v>2.7412000000000001</v>
      </c>
      <c r="I19" s="149">
        <f>IF($D19=0,"",VLOOKUP($B19,'Feed database'!$B$7:$Q$106,11,FALSE)/100*$E19*1000)</f>
        <v>11.036</v>
      </c>
      <c r="J19" s="149">
        <f>IF($D19=0,"",VLOOKUP($B19,'Feed database'!$B$7:$Q$106,13,FALSE)/100*$E19*1000)</f>
        <v>1.78</v>
      </c>
      <c r="K19" s="149">
        <f>IF($D19=0,"",VLOOKUP($B19,'Feed database'!$B$7:$Q$106,15,FALSE)*$E19/100)</f>
        <v>0</v>
      </c>
      <c r="L19" s="13"/>
      <c r="M19" s="149">
        <f>VLOOKUP(B19,'Feed database'!$B$7:$C$106,2,FALSE)</f>
        <v>7</v>
      </c>
      <c r="N19" s="149">
        <f t="shared" si="0"/>
        <v>28</v>
      </c>
    </row>
    <row r="20" spans="1:14">
      <c r="A20" s="173">
        <v>17</v>
      </c>
      <c r="B20" s="91" t="s">
        <v>74</v>
      </c>
      <c r="C20" s="110">
        <v>3</v>
      </c>
      <c r="D20" s="110"/>
      <c r="E20" s="149" t="str">
        <f>IF($D20=0,"",VLOOKUP($B20,'Feed database'!$B$7:$Q$106,3,FALSE)/100*$D20)</f>
        <v/>
      </c>
      <c r="F20" s="149" t="str">
        <f>IF($D20=0,"",VLOOKUP($B20,'Feed database'!$B$7:$Q$106,5,FALSE)*$E20)</f>
        <v/>
      </c>
      <c r="G20" s="149" t="str">
        <f>IF($D20=0,"",VLOOKUP($B20,'Feed database'!$B$7:$Q$106,7,FALSE)/100*$E20)</f>
        <v/>
      </c>
      <c r="H20" s="149" t="str">
        <f>IF($D20=0,"",VLOOKUP($B20,'Feed database'!$B$7:$Q$106,9,FALSE)/100*$E20)</f>
        <v/>
      </c>
      <c r="I20" s="149" t="str">
        <f>IF($D20=0,"",VLOOKUP($B20,'Feed database'!$B$7:$Q$106,11,FALSE)/100*$E20*1000)</f>
        <v/>
      </c>
      <c r="J20" s="149" t="str">
        <f>IF($D20=0,"",VLOOKUP($B20,'Feed database'!$B$7:$Q$106,13,FALSE)/100*$E20*1000)</f>
        <v/>
      </c>
      <c r="K20" s="149" t="str">
        <f>IF($D20=0,"",VLOOKUP($B20,'Feed database'!$B$7:$Q$106,15,FALSE)*$E20/100)</f>
        <v/>
      </c>
      <c r="L20" s="13"/>
      <c r="M20" s="149">
        <f>VLOOKUP(B20,'Feed database'!$B$7:$C$106,2,FALSE)</f>
        <v>14</v>
      </c>
      <c r="N20" s="149">
        <f t="shared" si="0"/>
        <v>0</v>
      </c>
    </row>
    <row r="21" spans="1:14" ht="21.75" customHeight="1">
      <c r="A21" s="82">
        <v>4</v>
      </c>
      <c r="B21" s="91" t="s">
        <v>172</v>
      </c>
      <c r="C21" s="110">
        <v>1</v>
      </c>
      <c r="D21" s="110">
        <v>1.92</v>
      </c>
      <c r="E21" s="149">
        <f>IF($D21=0,"",VLOOKUP($B21,'Feed database'!$B$7:$Q$106,3,FALSE)/100*$D21)</f>
        <v>1.7087999999999999</v>
      </c>
      <c r="F21" s="149">
        <f>IF($D21=0,"",VLOOKUP($B21,'Feed database'!$B$7:$Q$106,5,FALSE)*$E21)</f>
        <v>15.89184</v>
      </c>
      <c r="G21" s="149">
        <f>IF($D21=0,"",VLOOKUP($B21,'Feed database'!$B$7:$Q$106,7,FALSE)/100*$E21)</f>
        <v>0.34176000000000001</v>
      </c>
      <c r="H21" s="149">
        <f>IF($D21=0,"",VLOOKUP($B21,'Feed database'!$B$7:$Q$106,9,FALSE)/100*$E21)</f>
        <v>0.7006079999999999</v>
      </c>
      <c r="I21" s="149">
        <f>IF($D21=0,"",VLOOKUP($B21,'Feed database'!$B$7:$Q$106,11,FALSE)/100*$E21*1000)</f>
        <v>11.107199999999999</v>
      </c>
      <c r="J21" s="149">
        <f>IF($D21=0,"",VLOOKUP($B21,'Feed database'!$B$7:$Q$106,13,FALSE)/100*$E21*1000)</f>
        <v>11.61984</v>
      </c>
      <c r="K21" s="149">
        <f>IF($D21=0,"",VLOOKUP($B21,'Feed database'!$B$7:$Q$106,15,FALSE)*$E21/100)</f>
        <v>1.5208319999999997</v>
      </c>
      <c r="L21" s="13"/>
      <c r="M21" s="149">
        <f>VLOOKUP(B21,'Feed database'!$B$7:$C$106,2,FALSE)</f>
        <v>25</v>
      </c>
      <c r="N21" s="149">
        <f>IF(M21="",0,M21*D21)</f>
        <v>48</v>
      </c>
    </row>
    <row r="22" spans="1:14">
      <c r="A22" s="173">
        <v>18</v>
      </c>
      <c r="B22" s="91" t="s">
        <v>182</v>
      </c>
      <c r="C22" s="110">
        <v>2</v>
      </c>
      <c r="D22" s="110"/>
      <c r="E22" s="149" t="str">
        <f>IF($D22=0,"",VLOOKUP($B22,'Feed database'!$B$7:$Q$106,3,FALSE)/100*$D22)</f>
        <v/>
      </c>
      <c r="F22" s="149" t="str">
        <f>IF($D22=0,"",VLOOKUP($B22,'Feed database'!$B$7:$Q$106,5,FALSE)*$E22)</f>
        <v/>
      </c>
      <c r="G22" s="149" t="str">
        <f>IF($D22=0,"",VLOOKUP($B22,'Feed database'!$B$7:$Q$106,7,FALSE)/100*$E22)</f>
        <v/>
      </c>
      <c r="H22" s="149" t="str">
        <f>IF($D22=0,"",VLOOKUP($B22,'Feed database'!$B$7:$Q$106,9,FALSE)/100*$E22)</f>
        <v/>
      </c>
      <c r="I22" s="149" t="str">
        <f>IF($D22=0,"",VLOOKUP($B22,'Feed database'!$B$7:$Q$106,11,FALSE)/100*$E22*1000)</f>
        <v/>
      </c>
      <c r="J22" s="149" t="str">
        <f>IF($D22=0,"",VLOOKUP($B22,'Feed database'!$B$7:$Q$106,13,FALSE)/100*$E22*1000)</f>
        <v/>
      </c>
      <c r="K22" s="149" t="str">
        <f>IF($D22=0,"",VLOOKUP($B22,'Feed database'!$B$7:$Q$106,15,FALSE)*$E22/100)</f>
        <v/>
      </c>
      <c r="L22" s="13"/>
      <c r="M22" s="149">
        <f>VLOOKUP(B22,'Feed database'!$B$7:$C$106,2,FALSE)</f>
        <v>45</v>
      </c>
      <c r="N22" s="149">
        <f t="shared" si="0"/>
        <v>0</v>
      </c>
    </row>
    <row r="23" spans="1:14">
      <c r="A23" s="173">
        <v>19</v>
      </c>
      <c r="B23" s="91" t="s">
        <v>186</v>
      </c>
      <c r="C23" s="110">
        <v>25</v>
      </c>
      <c r="D23" s="110"/>
      <c r="E23" s="149" t="str">
        <f>IF($D23=0,"",VLOOKUP($B23,'Feed database'!$B$7:$Q$106,3,FALSE)/100*$D23)</f>
        <v/>
      </c>
      <c r="F23" s="149" t="str">
        <f>IF($D23=0,"",VLOOKUP($B23,'Feed database'!$B$7:$Q$106,5,FALSE)*$E23)</f>
        <v/>
      </c>
      <c r="G23" s="149" t="str">
        <f>IF($D23=0,"",VLOOKUP($B23,'Feed database'!$B$7:$Q$106,7,FALSE)/100*$E23)</f>
        <v/>
      </c>
      <c r="H23" s="149" t="str">
        <f>IF($D23=0,"",VLOOKUP($B23,'Feed database'!$B$7:$Q$106,9,FALSE)/100*$E23)</f>
        <v/>
      </c>
      <c r="I23" s="149" t="str">
        <f>IF($D23=0,"",VLOOKUP($B23,'Feed database'!$B$7:$Q$106,11,FALSE)/100*$E23*1000)</f>
        <v/>
      </c>
      <c r="J23" s="149" t="str">
        <f>IF($D23=0,"",VLOOKUP($B23,'Feed database'!$B$7:$Q$106,13,FALSE)/100*$E23*1000)</f>
        <v/>
      </c>
      <c r="K23" s="149" t="str">
        <f>IF($D23=0,"",VLOOKUP($B23,'Feed database'!$B$7:$Q$106,15,FALSE)*$E23/100)</f>
        <v/>
      </c>
      <c r="L23" s="13"/>
      <c r="M23" s="149">
        <f>VLOOKUP(B23,'Feed database'!$B$7:$C$106,2,FALSE)</f>
        <v>5</v>
      </c>
      <c r="N23" s="149">
        <f t="shared" si="0"/>
        <v>0</v>
      </c>
    </row>
    <row r="24" spans="1:14">
      <c r="A24" s="173">
        <v>20</v>
      </c>
      <c r="B24" s="91" t="s">
        <v>187</v>
      </c>
      <c r="C24" s="110">
        <v>3</v>
      </c>
      <c r="D24" s="110">
        <v>1.42</v>
      </c>
      <c r="E24" s="149">
        <f>IF($D24=0,"",VLOOKUP($B24,'Feed database'!$B$7:$Q$106,3,FALSE)/100*$D24)</f>
        <v>1.2638</v>
      </c>
      <c r="F24" s="149">
        <f>IF($D24=0,"",VLOOKUP($B24,'Feed database'!$B$7:$Q$106,5,FALSE)*$E24)</f>
        <v>11.247820000000001</v>
      </c>
      <c r="G24" s="149">
        <f>IF($D24=0,"",VLOOKUP($B24,'Feed database'!$B$7:$Q$106,7,FALSE)/100*$E24)</f>
        <v>0.50552000000000008</v>
      </c>
      <c r="H24" s="149">
        <f>IF($D24=0,"",VLOOKUP($B24,'Feed database'!$B$7:$Q$106,9,FALSE)/100*$E24)</f>
        <v>0.29067400000000004</v>
      </c>
      <c r="I24" s="149">
        <f>IF($D24=0,"",VLOOKUP($B24,'Feed database'!$B$7:$Q$106,11,FALSE)/100*$E24*1000)</f>
        <v>2.7803600000000004</v>
      </c>
      <c r="J24" s="149">
        <f>IF($D24=0,"",VLOOKUP($B24,'Feed database'!$B$7:$Q$106,13,FALSE)/100*$E24*1000)</f>
        <v>2.5276000000000001</v>
      </c>
      <c r="K24" s="149">
        <f>IF($D24=0,"",VLOOKUP($B24,'Feed database'!$B$7:$Q$106,15,FALSE)*$E24/100)</f>
        <v>1.1247819999999999</v>
      </c>
      <c r="L24" s="13"/>
      <c r="M24" s="149">
        <f>VLOOKUP(B24,'Feed database'!$B$7:$C$106,2,FALSE)</f>
        <v>25</v>
      </c>
      <c r="N24" s="149">
        <f t="shared" si="0"/>
        <v>35.5</v>
      </c>
    </row>
    <row r="25" spans="1:14">
      <c r="A25" s="173">
        <v>21</v>
      </c>
      <c r="B25" s="91" t="s">
        <v>188</v>
      </c>
      <c r="C25" s="110">
        <v>3</v>
      </c>
      <c r="D25" s="110"/>
      <c r="E25" s="149" t="str">
        <f>IF($D25=0,"",VLOOKUP($B25,'Feed database'!$B$7:$Q$106,3,FALSE)/100*$D25)</f>
        <v/>
      </c>
      <c r="F25" s="149" t="str">
        <f>IF($D25=0,"",VLOOKUP($B25,'Feed database'!$B$7:$Q$106,5,FALSE)*$E25)</f>
        <v/>
      </c>
      <c r="G25" s="149" t="str">
        <f>IF($D25=0,"",VLOOKUP($B25,'Feed database'!$B$7:$Q$106,7,FALSE)/100*$E25)</f>
        <v/>
      </c>
      <c r="H25" s="149" t="str">
        <f>IF($D25=0,"",VLOOKUP($B25,'Feed database'!$B$7:$Q$106,9,FALSE)/100*$E25)</f>
        <v/>
      </c>
      <c r="I25" s="149" t="str">
        <f>IF($D25=0,"",VLOOKUP($B25,'Feed database'!$B$7:$Q$106,11,FALSE)/100*$E25*1000)</f>
        <v/>
      </c>
      <c r="J25" s="149" t="str">
        <f>IF($D25=0,"",VLOOKUP($B25,'Feed database'!$B$7:$Q$106,13,FALSE)/100*$E25*1000)</f>
        <v/>
      </c>
      <c r="K25" s="149" t="str">
        <f>IF($D25=0,"",VLOOKUP($B25,'Feed database'!$B$7:$Q$106,15,FALSE)*$E25/100)</f>
        <v/>
      </c>
      <c r="L25" s="13"/>
      <c r="M25" s="149">
        <f>VLOOKUP(B25,'Feed database'!$B$7:$C$106,2,FALSE)</f>
        <v>25</v>
      </c>
      <c r="N25" s="149">
        <f t="shared" si="0"/>
        <v>0</v>
      </c>
    </row>
    <row r="26" spans="1:14">
      <c r="A26" s="173">
        <v>22</v>
      </c>
      <c r="B26" s="91" t="s">
        <v>189</v>
      </c>
      <c r="C26" s="110">
        <v>3</v>
      </c>
      <c r="D26" s="110"/>
      <c r="E26" s="149" t="str">
        <f>IF($D26=0,"",VLOOKUP($B26,'Feed database'!$B$7:$Q$106,3,FALSE)/100*$D26)</f>
        <v/>
      </c>
      <c r="F26" s="149" t="str">
        <f>IF($D26=0,"",VLOOKUP($B26,'Feed database'!$B$7:$Q$106,5,FALSE)*$E26)</f>
        <v/>
      </c>
      <c r="G26" s="149" t="str">
        <f>IF($D26=0,"",VLOOKUP($B26,'Feed database'!$B$7:$Q$106,7,FALSE)/100*$E26)</f>
        <v/>
      </c>
      <c r="H26" s="149" t="str">
        <f>IF($D26=0,"",VLOOKUP($B26,'Feed database'!$B$7:$Q$106,9,FALSE)/100*$E26)</f>
        <v/>
      </c>
      <c r="I26" s="149" t="str">
        <f>IF($D26=0,"",VLOOKUP($B26,'Feed database'!$B$7:$Q$106,11,FALSE)/100*$E26*1000)</f>
        <v/>
      </c>
      <c r="J26" s="149" t="str">
        <f>IF($D26=0,"",VLOOKUP($B26,'Feed database'!$B$7:$Q$106,13,FALSE)/100*$E26*1000)</f>
        <v/>
      </c>
      <c r="K26" s="149" t="str">
        <f>IF($D26=0,"",VLOOKUP($B26,'Feed database'!$B$7:$Q$106,15,FALSE)*$E26/100)</f>
        <v/>
      </c>
      <c r="L26" s="13"/>
      <c r="M26" s="149">
        <f>VLOOKUP(B26,'Feed database'!$B$7:$C$106,2,FALSE)</f>
        <v>20</v>
      </c>
      <c r="N26" s="149">
        <f t="shared" si="0"/>
        <v>0</v>
      </c>
    </row>
    <row r="27" spans="1:14">
      <c r="A27" s="173">
        <v>23</v>
      </c>
      <c r="B27" s="91" t="s">
        <v>177</v>
      </c>
      <c r="C27" s="110">
        <v>0.05</v>
      </c>
      <c r="D27" s="110"/>
      <c r="E27" s="149" t="str">
        <f>IF($D27=0,"",VLOOKUP($B27,'Feed database'!$B$7:$Q$106,3,FALSE)/100*$D27)</f>
        <v/>
      </c>
      <c r="F27" s="149" t="str">
        <f>IF($D27=0,"",VLOOKUP($B27,'Feed database'!$B$7:$Q$106,5,FALSE)*$E27)</f>
        <v/>
      </c>
      <c r="G27" s="149" t="str">
        <f>IF($D27=0,"",VLOOKUP($B27,'Feed database'!$B$7:$Q$106,7,FALSE)/100*$E27)</f>
        <v/>
      </c>
      <c r="H27" s="149" t="str">
        <f>IF($D27=0,"",VLOOKUP($B27,'Feed database'!$B$7:$Q$106,9,FALSE)/100*$E27)</f>
        <v/>
      </c>
      <c r="I27" s="149" t="str">
        <f>IF($D27=0,"",VLOOKUP($B27,'Feed database'!$B$7:$Q$106,11,FALSE)/100*$E27*1000)</f>
        <v/>
      </c>
      <c r="J27" s="149" t="str">
        <f>IF($D27=0,"",VLOOKUP($B27,'Feed database'!$B$7:$Q$106,13,FALSE)/100*$E27*1000)</f>
        <v/>
      </c>
      <c r="K27" s="149" t="str">
        <f>IF($D27=0,"",VLOOKUP($B27,'Feed database'!$B$7:$Q$106,15,FALSE)*$E27/100)</f>
        <v/>
      </c>
      <c r="L27" s="13"/>
      <c r="M27" s="149">
        <f>VLOOKUP(B27,'Feed database'!$B$7:$C$106,2,FALSE)</f>
        <v>8</v>
      </c>
      <c r="N27" s="149">
        <f t="shared" si="0"/>
        <v>0</v>
      </c>
    </row>
    <row r="28" spans="1:14">
      <c r="A28" s="173">
        <v>24</v>
      </c>
      <c r="B28" s="91" t="s">
        <v>190</v>
      </c>
      <c r="C28" s="110">
        <v>0.1</v>
      </c>
      <c r="D28" s="110">
        <v>0.1</v>
      </c>
      <c r="E28" s="149">
        <f>IF($D28=0,"",VLOOKUP($B28,'Feed database'!$B$7:$Q$106,3,FALSE)/100*$D28)</f>
        <v>9.0000000000000011E-2</v>
      </c>
      <c r="F28" s="149">
        <f>IF($D28=0,"",VLOOKUP($B28,'Feed database'!$B$7:$Q$106,5,FALSE)*$E28)</f>
        <v>0</v>
      </c>
      <c r="G28" s="149">
        <f>IF($D28=0,"",VLOOKUP($B28,'Feed database'!$B$7:$Q$106,7,FALSE)/100*$E28)</f>
        <v>0</v>
      </c>
      <c r="H28" s="149">
        <f>IF($D28=0,"",VLOOKUP($B28,'Feed database'!$B$7:$Q$106,9,FALSE)/100*$E28)</f>
        <v>0</v>
      </c>
      <c r="I28" s="149">
        <f>IF($D28=0,"",VLOOKUP($B28,'Feed database'!$B$7:$Q$106,11,FALSE)/100*$E28*1000)</f>
        <v>21.6</v>
      </c>
      <c r="J28" s="149">
        <f>IF($D28=0,"",VLOOKUP($B28,'Feed database'!$B$7:$Q$106,13,FALSE)/100*$E28*1000)</f>
        <v>10.8</v>
      </c>
      <c r="K28" s="149">
        <f>IF($D28=0,"",VLOOKUP($B28,'Feed database'!$B$7:$Q$106,15,FALSE)*$E28/100)</f>
        <v>8.1000000000000016E-2</v>
      </c>
      <c r="L28" s="13"/>
      <c r="M28" s="149">
        <f>VLOOKUP(B28,'Feed database'!$B$7:$C$106,2,FALSE)</f>
        <v>180</v>
      </c>
      <c r="N28" s="149">
        <f t="shared" si="0"/>
        <v>18</v>
      </c>
    </row>
    <row r="29" spans="1:14">
      <c r="A29" s="173">
        <v>25</v>
      </c>
      <c r="B29" s="91" t="s">
        <v>191</v>
      </c>
      <c r="C29" s="110">
        <v>0.3</v>
      </c>
      <c r="D29" s="110"/>
      <c r="E29" s="149" t="str">
        <f>IF($D29=0,"",VLOOKUP($B29,'Feed database'!$B$7:$Q$106,3,FALSE)/100*$D29)</f>
        <v/>
      </c>
      <c r="F29" s="149" t="str">
        <f>IF($D29=0,"",VLOOKUP($B29,'Feed database'!$B$7:$Q$106,5,FALSE)*$E29)</f>
        <v/>
      </c>
      <c r="G29" s="149" t="str">
        <f>IF($D29=0,"",VLOOKUP($B29,'Feed database'!$B$7:$Q$106,7,FALSE)/100*$E29)</f>
        <v/>
      </c>
      <c r="H29" s="149" t="str">
        <f>IF($D29=0,"",VLOOKUP($B29,'Feed database'!$B$7:$Q$106,9,FALSE)/100*$E29)</f>
        <v/>
      </c>
      <c r="I29" s="149" t="str">
        <f>IF($D29=0,"",VLOOKUP($B29,'Feed database'!$B$7:$Q$106,11,FALSE)/100*$E29*1000)</f>
        <v/>
      </c>
      <c r="J29" s="149" t="str">
        <f>IF($D29=0,"",VLOOKUP($B29,'Feed database'!$B$7:$Q$106,13,FALSE)/100*$E29*1000)</f>
        <v/>
      </c>
      <c r="K29" s="149" t="str">
        <f>IF($D29=0,"",VLOOKUP($B29,'Feed database'!$B$7:$Q$106,15,FALSE)*$E29/100)</f>
        <v/>
      </c>
      <c r="L29" s="13"/>
      <c r="M29" s="149">
        <f>VLOOKUP(B29,'Feed database'!$B$7:$C$106,2,FALSE)</f>
        <v>110</v>
      </c>
      <c r="N29" s="149">
        <f t="shared" si="0"/>
        <v>0</v>
      </c>
    </row>
    <row r="30" spans="1:14">
      <c r="A30" s="173">
        <v>27</v>
      </c>
      <c r="B30" s="91"/>
      <c r="C30" s="110"/>
      <c r="D30" s="110"/>
      <c r="E30" s="149" t="str">
        <f>IF($D30=0,"",VLOOKUP($B30,'Feed database'!$B$7:$Q$106,3,FALSE)/100*$D30)</f>
        <v/>
      </c>
      <c r="F30" s="149" t="str">
        <f>IF($D30=0,"",VLOOKUP($B30,'Feed database'!$B$7:$Q$106,5,FALSE)*$E30)</f>
        <v/>
      </c>
      <c r="G30" s="149" t="str">
        <f>IF($D30=0,"",VLOOKUP($B30,'Feed database'!$B$7:$Q$106,7,FALSE)/100*$E30)</f>
        <v/>
      </c>
      <c r="H30" s="149" t="str">
        <f>IF($D30=0,"",VLOOKUP($B30,'Feed database'!$B$7:$Q$106,9,FALSE)/100*$E30)</f>
        <v/>
      </c>
      <c r="I30" s="149" t="str">
        <f>IF($D30=0,"",VLOOKUP($B30,'Feed database'!$B$7:$Q$106,11,FALSE)/100*$E30*1000)</f>
        <v/>
      </c>
      <c r="J30" s="149" t="str">
        <f>IF($D30=0,"",VLOOKUP($B30,'Feed database'!$B$7:$Q$106,13,FALSE)/100*$E30*1000)</f>
        <v/>
      </c>
      <c r="K30" s="149" t="str">
        <f>IF($D30=0,"",VLOOKUP($B30,'Feed database'!$B$7:$Q$106,15,FALSE)*$E30/100)</f>
        <v/>
      </c>
      <c r="L30" s="13"/>
      <c r="M30" s="149"/>
      <c r="N30" s="149"/>
    </row>
    <row r="31" spans="1:14">
      <c r="A31" s="173">
        <v>28</v>
      </c>
      <c r="B31" s="91"/>
      <c r="C31" s="110"/>
      <c r="D31" s="110"/>
      <c r="E31" s="149"/>
      <c r="F31" s="149"/>
      <c r="G31" s="149" t="str">
        <f>IF($D31=0,"",VLOOKUP($B31,'Feed database'!$B$7:$Q$106,7,FALSE)/100*$E31)</f>
        <v/>
      </c>
      <c r="H31" s="149"/>
      <c r="I31" s="149"/>
      <c r="J31" s="149"/>
      <c r="K31" s="149" t="str">
        <f>IF($D31=0,"",VLOOKUP($B31,'Feed database'!$B$7:$Q$106,15,FALSE)*$E31/100)</f>
        <v/>
      </c>
      <c r="L31" s="13"/>
      <c r="M31" s="149"/>
      <c r="N31" s="149"/>
    </row>
    <row r="32" spans="1:14" ht="19.5">
      <c r="B32" s="85" t="s">
        <v>24</v>
      </c>
      <c r="C32" s="86"/>
      <c r="D32" s="225">
        <f>SUM(D4:D29)</f>
        <v>63.980000000000004</v>
      </c>
      <c r="E32" s="225">
        <f>SUM(E4:E31)</f>
        <v>35.163200000000003</v>
      </c>
      <c r="F32" s="225">
        <f t="shared" ref="F32:K32" si="2">SUM(F4:F31)</f>
        <v>318.33217200000001</v>
      </c>
      <c r="G32" s="225">
        <f t="shared" si="2"/>
        <v>6.0846219999999995</v>
      </c>
      <c r="H32" s="225">
        <f t="shared" si="2"/>
        <v>14.184128000000001</v>
      </c>
      <c r="I32" s="225">
        <f t="shared" si="2"/>
        <v>96.854720000000015</v>
      </c>
      <c r="J32" s="225">
        <f t="shared" si="2"/>
        <v>209.01738000000003</v>
      </c>
      <c r="K32" s="225">
        <f t="shared" si="2"/>
        <v>20.580548</v>
      </c>
      <c r="L32" s="170">
        <f>E32-K32</f>
        <v>14.582652000000003</v>
      </c>
      <c r="M32" s="85" t="s">
        <v>157</v>
      </c>
      <c r="N32" s="108">
        <f>SUM(N4:N31)</f>
        <v>908.22</v>
      </c>
    </row>
    <row r="33" spans="2:12" ht="19.5">
      <c r="D33" s="87"/>
      <c r="E33" s="87"/>
      <c r="F33" s="85" t="s">
        <v>25</v>
      </c>
      <c r="G33" s="111">
        <f>IF(G32=0,0,G32/$E32)</f>
        <v>0.1730394844610274</v>
      </c>
      <c r="H33" s="111">
        <f>IF(H32=0,0,H32/$E32)</f>
        <v>0.40337989716521816</v>
      </c>
      <c r="I33" s="131">
        <f>IF(I32=0,0,I32/1000/$E32)</f>
        <v>2.7544341811894255E-3</v>
      </c>
      <c r="J33" s="131">
        <f>IF(J32=0,0,J32/1000/$E32)</f>
        <v>5.9442081494289487E-3</v>
      </c>
      <c r="K33" s="131">
        <f>K32/E32</f>
        <v>0.58528654957455517</v>
      </c>
      <c r="L33" s="13"/>
    </row>
    <row r="34" spans="2:12">
      <c r="B34" s="155" t="s">
        <v>102</v>
      </c>
      <c r="C34" s="155"/>
      <c r="D34" s="155"/>
      <c r="E34" s="155">
        <f>1.5*D36/100</f>
        <v>9</v>
      </c>
      <c r="F34" s="156">
        <f>'Cow req'!D10</f>
        <v>225.4</v>
      </c>
      <c r="G34" s="157">
        <f>'Cow req'!D13*H36</f>
        <v>357.00000000000006</v>
      </c>
      <c r="H34" s="168">
        <f>'Cow req'!D16</f>
        <v>0.3</v>
      </c>
      <c r="I34" s="167">
        <f>'Cow req'!D19*H36*1000</f>
        <v>168.00000000000003</v>
      </c>
      <c r="J34" s="167">
        <f>'Cow req'!D22*H36*1000</f>
        <v>84.000000000000014</v>
      </c>
      <c r="K34" s="158">
        <f>'Cow req'!D25</f>
        <v>0.7</v>
      </c>
      <c r="L34" s="171">
        <f>1-K34</f>
        <v>0.30000000000000004</v>
      </c>
    </row>
    <row r="35" spans="2:12" ht="31.5">
      <c r="B35" s="78" t="s">
        <v>139</v>
      </c>
      <c r="F35" s="78">
        <f>F34*1.05</f>
        <v>236.67000000000002</v>
      </c>
      <c r="H35" s="92" t="s">
        <v>19</v>
      </c>
      <c r="I35" s="92"/>
      <c r="J35" s="81"/>
      <c r="K35" s="13"/>
      <c r="L35" s="13"/>
    </row>
    <row r="36" spans="2:12" ht="19.5">
      <c r="B36" s="96" t="s">
        <v>17</v>
      </c>
      <c r="C36" s="93"/>
      <c r="D36" s="153">
        <f>'Cow req'!$C$4</f>
        <v>600</v>
      </c>
      <c r="E36" s="94" t="s">
        <v>0</v>
      </c>
      <c r="F36" s="154">
        <f>IF('Cow req'!C6&gt;20,3.5%,3%)</f>
        <v>3.5000000000000003E-2</v>
      </c>
      <c r="G36" s="95" t="s">
        <v>1</v>
      </c>
      <c r="H36" s="108">
        <f>D36*F36</f>
        <v>21.000000000000004</v>
      </c>
      <c r="I36" s="84"/>
      <c r="J36" s="84"/>
      <c r="K36" s="13"/>
      <c r="L36" s="13"/>
    </row>
    <row r="37" spans="2:12" ht="31.5">
      <c r="D37" s="92" t="s">
        <v>18</v>
      </c>
      <c r="F37" s="92" t="s">
        <v>131</v>
      </c>
      <c r="I37" s="78" t="str">
        <f>IF(D36*F36&gt;E32,D36*F36,"Feed intake exceeds animal capacity")</f>
        <v>Feed intake exceeds animal capacity</v>
      </c>
      <c r="J37" s="84"/>
      <c r="K37" s="13"/>
      <c r="L37" s="13"/>
    </row>
    <row r="38" spans="2:12">
      <c r="H38" s="78">
        <f>H34*E34</f>
        <v>2.6999999999999997</v>
      </c>
      <c r="J38" s="84"/>
      <c r="K38" s="13"/>
      <c r="L38" s="13">
        <f>L34*E34</f>
        <v>2.7</v>
      </c>
    </row>
    <row r="39" spans="2:12">
      <c r="B39" s="118" t="s">
        <v>73</v>
      </c>
      <c r="J39" s="13"/>
      <c r="K39" s="13"/>
      <c r="L39" s="13"/>
    </row>
    <row r="40" spans="2:12">
      <c r="J40" s="13"/>
      <c r="K40" s="13"/>
      <c r="L40" s="13"/>
    </row>
    <row r="41" spans="2:12">
      <c r="J41" s="13"/>
      <c r="K41" s="13"/>
      <c r="L41" s="13"/>
    </row>
    <row r="42" spans="2:12">
      <c r="J42" s="13"/>
      <c r="K42" s="13"/>
      <c r="L42" s="13"/>
    </row>
    <row r="43" spans="2:12">
      <c r="J43" s="13"/>
      <c r="K43" s="13"/>
      <c r="L43" s="13"/>
    </row>
    <row r="44" spans="2:12">
      <c r="J44" s="13"/>
      <c r="K44" s="13"/>
      <c r="L44" s="13"/>
    </row>
    <row r="45" spans="2:12">
      <c r="J45" s="13"/>
      <c r="K45" s="13"/>
      <c r="L45" s="13"/>
    </row>
    <row r="46" spans="2:12">
      <c r="J46" s="13"/>
      <c r="K46" s="13"/>
      <c r="L46" s="13"/>
    </row>
    <row r="47" spans="2:12">
      <c r="J47" s="13"/>
      <c r="K47" s="13"/>
      <c r="L47" s="13"/>
    </row>
    <row r="48" spans="2:12">
      <c r="J48" s="13"/>
      <c r="K48" s="13"/>
      <c r="L48" s="13"/>
    </row>
    <row r="49" spans="10:12">
      <c r="J49" s="13"/>
      <c r="K49" s="13"/>
      <c r="L49" s="13"/>
    </row>
    <row r="50" spans="10:12">
      <c r="J50" s="13"/>
      <c r="K50" s="13"/>
      <c r="L50" s="13"/>
    </row>
    <row r="51" spans="10:12">
      <c r="J51" s="13"/>
      <c r="K51" s="13"/>
      <c r="L51" s="13"/>
    </row>
    <row r="52" spans="10:12">
      <c r="J52" s="13"/>
      <c r="K52" s="13"/>
      <c r="L52" s="13"/>
    </row>
    <row r="53" spans="10:12">
      <c r="J53" s="13"/>
      <c r="K53" s="13"/>
      <c r="L53" s="13"/>
    </row>
    <row r="54" spans="10:12">
      <c r="J54" s="13"/>
      <c r="K54" s="13"/>
      <c r="L54" s="13"/>
    </row>
    <row r="55" spans="10:12">
      <c r="J55" s="13"/>
      <c r="K55" s="13"/>
      <c r="L55" s="13"/>
    </row>
    <row r="56" spans="10:12">
      <c r="J56" s="13"/>
      <c r="K56" s="13"/>
      <c r="L56" s="13"/>
    </row>
    <row r="57" spans="10:12">
      <c r="J57" s="13"/>
      <c r="K57" s="13"/>
      <c r="L57" s="13"/>
    </row>
    <row r="58" spans="10:12">
      <c r="J58" s="13"/>
      <c r="K58" s="13"/>
      <c r="L58" s="13"/>
    </row>
    <row r="59" spans="10:12">
      <c r="J59" s="13"/>
      <c r="K59" s="13"/>
      <c r="L59" s="13"/>
    </row>
    <row r="60" spans="10:12">
      <c r="J60" s="13"/>
      <c r="K60" s="13"/>
      <c r="L60" s="13"/>
    </row>
    <row r="61" spans="10:12">
      <c r="J61" s="13"/>
      <c r="K61" s="13"/>
      <c r="L61" s="13"/>
    </row>
    <row r="62" spans="10:12">
      <c r="J62" s="13"/>
      <c r="K62" s="13"/>
      <c r="L62" s="13"/>
    </row>
    <row r="63" spans="10:12">
      <c r="J63" s="13"/>
      <c r="K63" s="13"/>
      <c r="L63" s="13"/>
    </row>
    <row r="64" spans="10:12">
      <c r="J64" s="13"/>
      <c r="K64" s="13"/>
      <c r="L64" s="13"/>
    </row>
    <row r="65" spans="10:12">
      <c r="J65" s="13"/>
      <c r="K65" s="13"/>
      <c r="L65" s="13"/>
    </row>
    <row r="66" spans="10:12">
      <c r="J66" s="12"/>
      <c r="K66" s="13"/>
      <c r="L66" s="13"/>
    </row>
    <row r="67" spans="10:12">
      <c r="J67" s="12"/>
      <c r="K67" s="13"/>
      <c r="L67" s="13"/>
    </row>
    <row r="68" spans="10:12">
      <c r="J68" s="12"/>
      <c r="K68" s="13"/>
      <c r="L68" s="13"/>
    </row>
    <row r="69" spans="10:12">
      <c r="J69" s="12"/>
      <c r="K69" s="13"/>
      <c r="L69" s="13"/>
    </row>
    <row r="70" spans="10:12">
      <c r="J70" s="12"/>
      <c r="K70" s="13"/>
      <c r="L70" s="13"/>
    </row>
    <row r="71" spans="10:12">
      <c r="J71" s="12"/>
      <c r="K71" s="13"/>
      <c r="L71" s="13"/>
    </row>
    <row r="72" spans="10:12">
      <c r="J72" s="12"/>
      <c r="K72" s="13"/>
      <c r="L72" s="13"/>
    </row>
    <row r="73" spans="10:12">
      <c r="J73" s="12"/>
      <c r="K73" s="13"/>
      <c r="L73" s="13"/>
    </row>
    <row r="74" spans="10:12">
      <c r="J74" s="12"/>
      <c r="K74" s="13"/>
      <c r="L74" s="13"/>
    </row>
    <row r="75" spans="10:12">
      <c r="J75" s="12"/>
      <c r="K75" s="13"/>
      <c r="L75" s="13"/>
    </row>
    <row r="76" spans="10:12">
      <c r="J76" s="12"/>
      <c r="K76" s="13"/>
      <c r="L76" s="13"/>
    </row>
    <row r="77" spans="10:12">
      <c r="J77" s="12"/>
      <c r="K77" s="13"/>
      <c r="L77" s="13"/>
    </row>
    <row r="78" spans="10:12">
      <c r="J78" s="12"/>
      <c r="K78" s="13"/>
      <c r="L78" s="13"/>
    </row>
    <row r="79" spans="10:12">
      <c r="J79" s="12"/>
      <c r="K79" s="13"/>
      <c r="L79" s="13"/>
    </row>
    <row r="80" spans="10:12">
      <c r="J80" s="12"/>
      <c r="K80" s="13"/>
      <c r="L80" s="13"/>
    </row>
    <row r="81" spans="10:12">
      <c r="J81" s="12"/>
      <c r="K81" s="13"/>
      <c r="L81" s="13"/>
    </row>
    <row r="82" spans="10:12">
      <c r="J82" s="13"/>
      <c r="K82" s="13"/>
      <c r="L82" s="13"/>
    </row>
  </sheetData>
  <mergeCells count="1">
    <mergeCell ref="A1:H1"/>
  </mergeCells>
  <phoneticPr fontId="7" type="noConversion"/>
  <dataValidations count="1">
    <dataValidation type="list" allowBlank="1" showInputMessage="1" showErrorMessage="1" sqref="B4:B31">
      <formula1>FeedIngredients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18"/>
  <sheetViews>
    <sheetView zoomScale="75" workbookViewId="0">
      <selection activeCell="D9" sqref="D9"/>
    </sheetView>
  </sheetViews>
  <sheetFormatPr defaultColWidth="11.42578125" defaultRowHeight="15"/>
  <cols>
    <col min="1" max="1" width="52.7109375" style="15" bestFit="1" customWidth="1"/>
    <col min="2" max="2" width="18.140625" style="15" customWidth="1"/>
    <col min="3" max="3" width="23.42578125" style="15" bestFit="1" customWidth="1"/>
    <col min="4" max="4" width="30.85546875" style="15" bestFit="1" customWidth="1"/>
    <col min="5" max="5" width="20.85546875" style="15" bestFit="1" customWidth="1"/>
    <col min="6" max="6" width="9.85546875" style="15" bestFit="1" customWidth="1"/>
    <col min="7" max="7" width="12.5703125" style="15" customWidth="1"/>
    <col min="8" max="256" width="9.140625" style="15" customWidth="1"/>
    <col min="257" max="16384" width="11.42578125" style="15"/>
  </cols>
  <sheetData>
    <row r="1" spans="1:7" ht="45" customHeight="1">
      <c r="A1" s="237" t="s">
        <v>58</v>
      </c>
      <c r="B1" s="238"/>
      <c r="C1" s="238"/>
      <c r="D1" s="238"/>
      <c r="E1" s="238"/>
    </row>
    <row r="4" spans="1:7" ht="31.5">
      <c r="B4" s="100" t="s">
        <v>129</v>
      </c>
      <c r="C4" s="100" t="s">
        <v>51</v>
      </c>
      <c r="D4" s="100" t="s">
        <v>130</v>
      </c>
      <c r="E4" s="100" t="s">
        <v>47</v>
      </c>
    </row>
    <row r="5" spans="1:7" ht="30" customHeight="1">
      <c r="A5" s="16" t="s">
        <v>48</v>
      </c>
      <c r="B5" s="103">
        <f>'Cow req'!C4</f>
        <v>600</v>
      </c>
      <c r="C5" s="103">
        <f>'Cow req'!C5</f>
        <v>0</v>
      </c>
      <c r="D5" s="103">
        <f>'Cow req'!C9</f>
        <v>0</v>
      </c>
      <c r="E5" s="103" t="str">
        <f>'Cow req'!B13</f>
        <v>Early lactation</v>
      </c>
    </row>
    <row r="7" spans="1:7" ht="31.5">
      <c r="B7" s="100" t="s">
        <v>42</v>
      </c>
      <c r="C7" s="100" t="s">
        <v>43</v>
      </c>
      <c r="D7" s="100" t="s">
        <v>44</v>
      </c>
      <c r="E7" s="100" t="s">
        <v>45</v>
      </c>
      <c r="F7" s="100" t="s">
        <v>100</v>
      </c>
      <c r="G7" s="100" t="s">
        <v>101</v>
      </c>
    </row>
    <row r="8" spans="1:7" ht="30" customHeight="1">
      <c r="A8" s="16" t="s">
        <v>46</v>
      </c>
      <c r="B8" s="193">
        <f>'Ration form'!H36</f>
        <v>21.000000000000004</v>
      </c>
      <c r="C8" s="193">
        <f>'Cow req'!$D$10</f>
        <v>225.4</v>
      </c>
      <c r="D8" s="194">
        <f>'Cow req'!$D$13*100</f>
        <v>1700</v>
      </c>
      <c r="E8" s="195">
        <f>'Cow req'!$D$16</f>
        <v>0.3</v>
      </c>
      <c r="F8" s="196">
        <f>'Cow req'!D19*'Ration form'!H36*1000</f>
        <v>168.00000000000003</v>
      </c>
      <c r="G8" s="196">
        <f>'Cow req'!D22*'Ration form'!H36*1000</f>
        <v>84.000000000000014</v>
      </c>
    </row>
    <row r="9" spans="1:7" ht="30" customHeight="1">
      <c r="A9" s="16" t="s">
        <v>56</v>
      </c>
      <c r="B9" s="197">
        <f>'Ration form'!E32</f>
        <v>35.163200000000003</v>
      </c>
      <c r="C9" s="198">
        <f>'Ration form'!F32</f>
        <v>318.33217200000001</v>
      </c>
      <c r="D9" s="199">
        <f>'Ration form'!G33</f>
        <v>0.1730394844610274</v>
      </c>
      <c r="E9" s="199">
        <f>'Ration form'!H33</f>
        <v>0.40337989716521816</v>
      </c>
      <c r="F9" s="197">
        <f>'Ration form'!I32</f>
        <v>96.854720000000015</v>
      </c>
      <c r="G9" s="197">
        <f>'Ration form'!J32</f>
        <v>209.01738000000003</v>
      </c>
    </row>
    <row r="10" spans="1:7" ht="15.75">
      <c r="A10" s="16"/>
      <c r="B10" s="14"/>
      <c r="C10" s="14"/>
      <c r="D10" s="14"/>
      <c r="E10" s="14"/>
      <c r="F10" s="15" t="s">
        <v>176</v>
      </c>
    </row>
    <row r="11" spans="1:7" ht="31.5">
      <c r="A11" s="16"/>
      <c r="B11" s="100" t="s">
        <v>40</v>
      </c>
      <c r="C11" s="100" t="s">
        <v>41</v>
      </c>
      <c r="D11" s="100" t="s">
        <v>136</v>
      </c>
      <c r="E11" s="100" t="s">
        <v>137</v>
      </c>
    </row>
    <row r="12" spans="1:7" ht="30" customHeight="1">
      <c r="A12" s="101" t="s">
        <v>50</v>
      </c>
      <c r="B12" s="113">
        <f>'Cow req'!C6</f>
        <v>32</v>
      </c>
      <c r="C12" s="103" t="str">
        <f>'Cow req'!C7&amp;"% and "&amp;'Cow req'!C8&amp;"%"</f>
        <v>3.6% and 3.1%</v>
      </c>
      <c r="D12" s="104">
        <v>40</v>
      </c>
      <c r="E12" s="102">
        <f>B12*D12</f>
        <v>1280</v>
      </c>
    </row>
    <row r="13" spans="1:7" ht="15.75">
      <c r="A13" s="16"/>
      <c r="E13" s="15" t="s">
        <v>141</v>
      </c>
    </row>
    <row r="14" spans="1:7" ht="30" customHeight="1">
      <c r="A14" s="16" t="s">
        <v>57</v>
      </c>
      <c r="E14" s="223">
        <f>'Ration form'!N32</f>
        <v>908.22</v>
      </c>
    </row>
    <row r="15" spans="1:7" ht="15.75">
      <c r="A15" s="16"/>
    </row>
    <row r="16" spans="1:7" ht="30" customHeight="1">
      <c r="D16" s="105" t="s">
        <v>138</v>
      </c>
      <c r="E16" s="102">
        <f>E12-E14</f>
        <v>371.78</v>
      </c>
    </row>
    <row r="18" spans="1:1">
      <c r="A18" s="118" t="s">
        <v>90</v>
      </c>
    </row>
  </sheetData>
  <mergeCells count="1">
    <mergeCell ref="A1:E1"/>
  </mergeCells>
  <phoneticPr fontId="7" type="noConversion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32"/>
  <sheetViews>
    <sheetView showGridLines="0" topLeftCell="A10" zoomScale="80" zoomScaleNormal="80" workbookViewId="0">
      <selection sqref="A1:K1"/>
    </sheetView>
  </sheetViews>
  <sheetFormatPr defaultColWidth="9.140625" defaultRowHeight="12.75"/>
  <cols>
    <col min="1" max="1" width="4.140625" style="3" bestFit="1" customWidth="1"/>
    <col min="2" max="2" width="38.85546875" style="2" bestFit="1" customWidth="1"/>
    <col min="3" max="3" width="17.42578125" style="2" customWidth="1"/>
    <col min="4" max="4" width="11.28515625" style="2" customWidth="1"/>
    <col min="5" max="5" width="17.7109375" style="2" customWidth="1"/>
    <col min="6" max="6" width="11.42578125" style="2" customWidth="1"/>
    <col min="7" max="7" width="14.7109375" style="2" customWidth="1"/>
    <col min="8" max="8" width="12" style="2" customWidth="1"/>
    <col min="9" max="9" width="16.42578125" style="2" customWidth="1"/>
    <col min="10" max="10" width="11.140625" style="2" customWidth="1"/>
    <col min="11" max="11" width="14" style="2" customWidth="1"/>
    <col min="12" max="12" width="15" style="2" customWidth="1"/>
    <col min="13" max="13" width="14.85546875" style="2" customWidth="1"/>
    <col min="14" max="14" width="12.42578125" style="2" customWidth="1"/>
    <col min="15" max="15" width="11.140625" style="2" customWidth="1"/>
    <col min="16" max="16" width="15.7109375" style="2" customWidth="1"/>
    <col min="17" max="17" width="16.42578125" style="2" customWidth="1"/>
    <col min="18" max="16384" width="9.140625" style="2"/>
  </cols>
  <sheetData>
    <row r="1" spans="1:25" s="1" customFormat="1" ht="15.75">
      <c r="A1" s="239" t="s">
        <v>132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</row>
    <row r="2" spans="1:25" ht="15.75">
      <c r="A2" s="14"/>
      <c r="B2" s="15"/>
      <c r="C2" s="15"/>
      <c r="D2" s="15"/>
      <c r="E2" s="16"/>
      <c r="F2" s="15"/>
      <c r="G2" s="15"/>
      <c r="H2" s="15"/>
      <c r="I2" s="16"/>
      <c r="J2" s="15"/>
      <c r="K2" s="15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s="3" customFormat="1" ht="15.75">
      <c r="A3" s="17"/>
      <c r="B3" s="119" t="s">
        <v>73</v>
      </c>
      <c r="C3" s="18" t="s">
        <v>2</v>
      </c>
      <c r="D3" s="19" t="s">
        <v>5</v>
      </c>
      <c r="E3" s="20" t="s">
        <v>7</v>
      </c>
      <c r="F3" s="19" t="s">
        <v>9</v>
      </c>
      <c r="G3" s="21" t="s">
        <v>3</v>
      </c>
      <c r="H3" s="19" t="s">
        <v>6</v>
      </c>
      <c r="I3" s="20" t="s">
        <v>8</v>
      </c>
      <c r="J3" s="19" t="s">
        <v>4</v>
      </c>
      <c r="K3" s="21" t="s">
        <v>10</v>
      </c>
      <c r="L3" s="19" t="s">
        <v>4</v>
      </c>
      <c r="M3" s="21" t="s">
        <v>10</v>
      </c>
      <c r="N3" s="19" t="s">
        <v>4</v>
      </c>
      <c r="O3" s="21" t="s">
        <v>10</v>
      </c>
      <c r="P3" s="19"/>
      <c r="Q3" s="21"/>
      <c r="R3" s="5"/>
      <c r="S3" s="5"/>
      <c r="T3" s="5"/>
      <c r="U3" s="5"/>
      <c r="V3" s="5"/>
      <c r="W3" s="5"/>
      <c r="X3" s="5"/>
      <c r="Y3" s="5"/>
    </row>
    <row r="4" spans="1:25" ht="31.5">
      <c r="A4" s="15"/>
      <c r="B4" s="17" t="s">
        <v>133</v>
      </c>
      <c r="C4" s="22" t="s">
        <v>27</v>
      </c>
      <c r="D4" s="23" t="s">
        <v>35</v>
      </c>
      <c r="E4" s="24" t="s">
        <v>28</v>
      </c>
      <c r="F4" s="23" t="s">
        <v>29</v>
      </c>
      <c r="G4" s="24" t="s">
        <v>30</v>
      </c>
      <c r="H4" s="23" t="s">
        <v>31</v>
      </c>
      <c r="I4" s="24" t="s">
        <v>32</v>
      </c>
      <c r="J4" s="23" t="s">
        <v>33</v>
      </c>
      <c r="K4" s="24" t="s">
        <v>34</v>
      </c>
      <c r="L4" s="23" t="s">
        <v>93</v>
      </c>
      <c r="M4" s="24" t="s">
        <v>94</v>
      </c>
      <c r="N4" s="23" t="s">
        <v>95</v>
      </c>
      <c r="O4" s="24" t="s">
        <v>96</v>
      </c>
      <c r="P4" s="23" t="s">
        <v>104</v>
      </c>
      <c r="Q4" s="24" t="s">
        <v>105</v>
      </c>
      <c r="R4" s="4"/>
      <c r="S4" s="4"/>
      <c r="T4" s="4"/>
      <c r="U4" s="4"/>
      <c r="V4" s="4"/>
      <c r="W4" s="6"/>
      <c r="X4" s="6"/>
      <c r="Y4" s="4"/>
    </row>
    <row r="5" spans="1:25" s="7" customFormat="1" ht="30">
      <c r="A5" s="17"/>
      <c r="B5" s="25" t="s">
        <v>38</v>
      </c>
      <c r="C5" s="26" t="s">
        <v>134</v>
      </c>
      <c r="D5" s="25" t="s">
        <v>36</v>
      </c>
      <c r="E5" s="27" t="s">
        <v>135</v>
      </c>
      <c r="F5" s="25" t="s">
        <v>37</v>
      </c>
      <c r="G5" s="28" t="s">
        <v>198</v>
      </c>
      <c r="H5" s="29" t="s">
        <v>36</v>
      </c>
      <c r="I5" s="27" t="s">
        <v>199</v>
      </c>
      <c r="J5" s="29" t="s">
        <v>36</v>
      </c>
      <c r="K5" s="27" t="s">
        <v>200</v>
      </c>
      <c r="L5" s="29" t="s">
        <v>123</v>
      </c>
      <c r="M5" s="27" t="s">
        <v>201</v>
      </c>
      <c r="N5" s="29" t="s">
        <v>123</v>
      </c>
      <c r="O5" s="27" t="s">
        <v>202</v>
      </c>
      <c r="P5" s="25" t="s">
        <v>113</v>
      </c>
      <c r="Q5" s="28" t="s">
        <v>113</v>
      </c>
      <c r="R5" s="8"/>
      <c r="S5" s="8"/>
      <c r="T5" s="8"/>
      <c r="U5" s="8"/>
      <c r="V5" s="8"/>
      <c r="W5" s="9"/>
      <c r="X5" s="9"/>
      <c r="Y5" s="8"/>
    </row>
    <row r="6" spans="1:25" ht="16.5" thickBot="1">
      <c r="A6" s="30" t="s">
        <v>14</v>
      </c>
      <c r="B6" s="31" t="s">
        <v>15</v>
      </c>
      <c r="C6" s="32"/>
      <c r="D6" s="33"/>
      <c r="E6" s="106" t="s">
        <v>16</v>
      </c>
      <c r="F6" s="33"/>
      <c r="G6" s="107" t="s">
        <v>11</v>
      </c>
      <c r="H6" s="34"/>
      <c r="I6" s="107" t="s">
        <v>12</v>
      </c>
      <c r="J6" s="34"/>
      <c r="K6" s="107" t="s">
        <v>13</v>
      </c>
      <c r="L6" s="34"/>
      <c r="M6" s="107" t="s">
        <v>13</v>
      </c>
      <c r="N6" s="34"/>
      <c r="O6" s="107" t="s">
        <v>13</v>
      </c>
      <c r="P6" s="34"/>
      <c r="Q6" s="107"/>
      <c r="R6" s="4"/>
      <c r="S6" s="4"/>
      <c r="T6" s="4"/>
      <c r="U6" s="4"/>
      <c r="V6" s="4"/>
      <c r="W6" s="6"/>
      <c r="X6" s="6"/>
      <c r="Y6" s="4"/>
    </row>
    <row r="7" spans="1:25" ht="17.25" thickTop="1" thickBot="1">
      <c r="A7" s="35">
        <f t="shared" ref="A7:A32" si="0">ROW()-6</f>
        <v>1</v>
      </c>
      <c r="B7" s="36" t="s">
        <v>181</v>
      </c>
      <c r="C7" s="129">
        <v>28</v>
      </c>
      <c r="D7" s="97">
        <v>89</v>
      </c>
      <c r="E7" s="121">
        <f>IF(C7="",0,IF(D7=0,0,C7/D7*100))</f>
        <v>31.460674157303369</v>
      </c>
      <c r="F7" s="97">
        <v>12.28</v>
      </c>
      <c r="G7" s="122">
        <f>IF(F7="",0,IF(F7=0,0,E7/F7))</f>
        <v>2.5619441496175384</v>
      </c>
      <c r="H7" s="97">
        <v>20</v>
      </c>
      <c r="I7" s="122">
        <f>IF(H7="",0,IF(H7=0,0,E7/H7))</f>
        <v>1.5730337078651684</v>
      </c>
      <c r="J7" s="97">
        <v>48</v>
      </c>
      <c r="K7" s="121">
        <f>IF(J7="",0,IF(J7=0,0,E7/J7))</f>
        <v>0.65543071161048683</v>
      </c>
      <c r="L7" s="226">
        <v>0.2</v>
      </c>
      <c r="M7" s="121">
        <f>IF(L7="",0,IF(L7=0,0,E7/L7))</f>
        <v>157.30337078651684</v>
      </c>
      <c r="N7" s="226">
        <v>0.25</v>
      </c>
      <c r="O7" s="121">
        <f>IF(N7="",0,IF(N7=0,0,E7/N7))</f>
        <v>125.84269662921348</v>
      </c>
      <c r="P7" s="97">
        <v>89</v>
      </c>
      <c r="Q7" s="135">
        <v>0</v>
      </c>
      <c r="R7" s="4"/>
      <c r="S7" s="4"/>
      <c r="T7" s="4"/>
      <c r="U7" s="4"/>
      <c r="V7" s="4"/>
      <c r="W7" s="6"/>
      <c r="X7" s="6"/>
      <c r="Y7" s="4"/>
    </row>
    <row r="8" spans="1:25" ht="17.25" thickTop="1" thickBot="1">
      <c r="A8" s="35">
        <f t="shared" si="0"/>
        <v>2</v>
      </c>
      <c r="B8" s="124" t="s">
        <v>184</v>
      </c>
      <c r="C8" s="126">
        <v>3</v>
      </c>
      <c r="D8" s="125">
        <v>20</v>
      </c>
      <c r="E8" s="121">
        <f>IF(C8="",0,IF(D8=0,0,C8/D8*100))</f>
        <v>15</v>
      </c>
      <c r="F8" s="125">
        <v>9.3000000000000007</v>
      </c>
      <c r="G8" s="122">
        <f>IF(F8="",0,IF(F8=0,0,E8/F8))</f>
        <v>1.6129032258064515</v>
      </c>
      <c r="H8" s="125">
        <v>12</v>
      </c>
      <c r="I8" s="122">
        <f>IF(H8="",0,IF(H8=0,0,E8/H8))</f>
        <v>1.25</v>
      </c>
      <c r="J8" s="125">
        <v>56</v>
      </c>
      <c r="K8" s="121">
        <f>IF(J8="",0,IF(J8=0,0,E8/J8))</f>
        <v>0.26785714285714285</v>
      </c>
      <c r="L8" s="161">
        <v>0.28999999999999998</v>
      </c>
      <c r="M8" s="121">
        <f>IF(L8="",0,IF(L8=0,0,E8/L8))</f>
        <v>51.724137931034484</v>
      </c>
      <c r="N8" s="161">
        <v>0.24</v>
      </c>
      <c r="O8" s="121">
        <f>IF(N8="",0,IF(N8=0,0,E8/N8))</f>
        <v>62.5</v>
      </c>
      <c r="P8" s="125">
        <v>0</v>
      </c>
      <c r="Q8" s="132">
        <v>20</v>
      </c>
      <c r="R8" s="4"/>
      <c r="S8" s="4"/>
      <c r="T8" s="4"/>
      <c r="U8" s="4"/>
      <c r="V8" s="4"/>
      <c r="W8" s="6"/>
      <c r="X8" s="6"/>
      <c r="Y8" s="4"/>
    </row>
    <row r="9" spans="1:25" ht="17.25" thickTop="1" thickBot="1">
      <c r="A9" s="35">
        <f t="shared" si="0"/>
        <v>3</v>
      </c>
      <c r="B9" s="37" t="s">
        <v>164</v>
      </c>
      <c r="C9" s="127">
        <v>7</v>
      </c>
      <c r="D9" s="98">
        <v>32</v>
      </c>
      <c r="E9" s="121">
        <f t="shared" ref="E9:E32" si="1">IF(C9="",0,IF(D9=0,0,C9/D9*100))</f>
        <v>21.875</v>
      </c>
      <c r="F9" s="98">
        <v>10.8</v>
      </c>
      <c r="G9" s="122">
        <f t="shared" ref="G9:G32" si="2">IF(F9="",0,IF(F9=0,0,E9/F9))</f>
        <v>2.0254629629629628</v>
      </c>
      <c r="H9" s="98">
        <v>7.5</v>
      </c>
      <c r="I9" s="122">
        <f t="shared" ref="I9:I32" si="3">IF(H9="",0,IF(H9=0,0,E9/H9))</f>
        <v>2.9166666666666665</v>
      </c>
      <c r="J9" s="98">
        <v>45</v>
      </c>
      <c r="K9" s="121">
        <f t="shared" ref="K9:K32" si="4">IF(J9="",0,IF(J9=0,0,E9/J9))</f>
        <v>0.4861111111111111</v>
      </c>
      <c r="L9" s="130">
        <v>0.22</v>
      </c>
      <c r="M9" s="121">
        <f t="shared" ref="M9:M32" si="5">IF(L9="",0,IF(L9=0,0,E9/L9))</f>
        <v>99.431818181818187</v>
      </c>
      <c r="N9" s="130">
        <v>0.26</v>
      </c>
      <c r="O9" s="121">
        <f t="shared" ref="O9:O32" si="6">IF(N9="",0,IF(N9=0,0,E9/N9))</f>
        <v>84.134615384615387</v>
      </c>
      <c r="P9" s="98">
        <v>0</v>
      </c>
      <c r="Q9" s="133">
        <v>32</v>
      </c>
      <c r="R9" s="4"/>
      <c r="S9" s="4"/>
      <c r="T9" s="4"/>
      <c r="U9" s="4"/>
      <c r="V9" s="4"/>
      <c r="W9" s="6"/>
      <c r="X9" s="6"/>
      <c r="Y9" s="4"/>
    </row>
    <row r="10" spans="1:25" ht="17.25" thickTop="1" thickBot="1">
      <c r="A10" s="35">
        <f t="shared" si="0"/>
        <v>4</v>
      </c>
      <c r="B10" s="37" t="s">
        <v>173</v>
      </c>
      <c r="C10" s="127">
        <v>29</v>
      </c>
      <c r="D10" s="98">
        <v>89</v>
      </c>
      <c r="E10" s="121">
        <f t="shared" si="1"/>
        <v>32.584269662921351</v>
      </c>
      <c r="F10" s="98">
        <v>8.19</v>
      </c>
      <c r="G10" s="122">
        <f t="shared" si="2"/>
        <v>3.9785433043860015</v>
      </c>
      <c r="H10" s="98">
        <v>24</v>
      </c>
      <c r="I10" s="122">
        <f t="shared" si="3"/>
        <v>1.3576779026217229</v>
      </c>
      <c r="J10" s="98">
        <v>32</v>
      </c>
      <c r="K10" s="121">
        <f t="shared" si="4"/>
        <v>1.0182584269662922</v>
      </c>
      <c r="L10" s="130">
        <v>0.16</v>
      </c>
      <c r="M10" s="121">
        <f t="shared" si="5"/>
        <v>203.65168539325845</v>
      </c>
      <c r="N10" s="130">
        <v>0.95</v>
      </c>
      <c r="O10" s="121">
        <f t="shared" si="6"/>
        <v>34.299231224127738</v>
      </c>
      <c r="P10" s="98">
        <v>89</v>
      </c>
      <c r="Q10" s="133"/>
      <c r="R10" s="4"/>
      <c r="S10" s="4"/>
      <c r="T10" s="4"/>
      <c r="U10" s="4"/>
      <c r="V10" s="4"/>
      <c r="W10" s="6"/>
      <c r="X10" s="6"/>
      <c r="Y10" s="4"/>
    </row>
    <row r="11" spans="1:25" ht="17.25" thickTop="1" thickBot="1">
      <c r="A11" s="35">
        <f t="shared" si="0"/>
        <v>5</v>
      </c>
      <c r="B11" s="37" t="s">
        <v>165</v>
      </c>
      <c r="C11" s="127">
        <v>39</v>
      </c>
      <c r="D11" s="98">
        <v>88</v>
      </c>
      <c r="E11" s="121">
        <f t="shared" si="1"/>
        <v>44.31818181818182</v>
      </c>
      <c r="F11" s="98">
        <v>7</v>
      </c>
      <c r="G11" s="122">
        <f t="shared" si="2"/>
        <v>6.3311688311688314</v>
      </c>
      <c r="H11" s="98">
        <v>22</v>
      </c>
      <c r="I11" s="122">
        <f t="shared" si="3"/>
        <v>2.0144628099173554</v>
      </c>
      <c r="J11" s="98">
        <v>22</v>
      </c>
      <c r="K11" s="121">
        <f t="shared" si="4"/>
        <v>2.0144628099173554</v>
      </c>
      <c r="L11" s="130">
        <v>0.15</v>
      </c>
      <c r="M11" s="121">
        <f t="shared" si="5"/>
        <v>295.4545454545455</v>
      </c>
      <c r="N11" s="130">
        <v>0.7</v>
      </c>
      <c r="O11" s="121">
        <f t="shared" si="6"/>
        <v>63.311688311688322</v>
      </c>
      <c r="P11" s="98">
        <v>88</v>
      </c>
      <c r="Q11" s="133"/>
      <c r="R11" s="4"/>
      <c r="S11" s="4"/>
      <c r="T11" s="4"/>
      <c r="U11" s="4"/>
      <c r="V11" s="4"/>
      <c r="W11" s="6"/>
      <c r="X11" s="6"/>
      <c r="Y11" s="4"/>
    </row>
    <row r="12" spans="1:25" ht="17.25" thickTop="1" thickBot="1">
      <c r="A12" s="35">
        <f t="shared" si="0"/>
        <v>6</v>
      </c>
      <c r="B12" s="37" t="s">
        <v>167</v>
      </c>
      <c r="C12" s="127">
        <v>27</v>
      </c>
      <c r="D12" s="98">
        <v>89</v>
      </c>
      <c r="E12" s="121">
        <f t="shared" si="1"/>
        <v>30.337078651685395</v>
      </c>
      <c r="F12" s="98">
        <v>9.68</v>
      </c>
      <c r="G12" s="122">
        <f t="shared" si="2"/>
        <v>3.1339957284798965</v>
      </c>
      <c r="H12" s="98">
        <v>32</v>
      </c>
      <c r="I12" s="122">
        <f t="shared" si="3"/>
        <v>0.94803370786516861</v>
      </c>
      <c r="J12" s="98">
        <v>25</v>
      </c>
      <c r="K12" s="121">
        <f t="shared" si="4"/>
        <v>1.2134831460674158</v>
      </c>
      <c r="L12" s="130">
        <v>0.84</v>
      </c>
      <c r="M12" s="121">
        <f t="shared" si="5"/>
        <v>36.115569823434996</v>
      </c>
      <c r="N12" s="130">
        <v>1.1000000000000001</v>
      </c>
      <c r="O12" s="121">
        <f t="shared" si="6"/>
        <v>27.579162410623084</v>
      </c>
      <c r="P12" s="98">
        <v>89</v>
      </c>
      <c r="Q12" s="133"/>
      <c r="R12" s="4"/>
      <c r="S12" s="4"/>
      <c r="T12" s="4"/>
      <c r="U12" s="4"/>
      <c r="V12" s="4"/>
      <c r="W12" s="6"/>
      <c r="X12" s="6"/>
      <c r="Y12" s="4"/>
    </row>
    <row r="13" spans="1:25" ht="17.25" thickTop="1" thickBot="1">
      <c r="A13" s="35">
        <f t="shared" si="0"/>
        <v>7</v>
      </c>
      <c r="B13" s="37" t="s">
        <v>168</v>
      </c>
      <c r="C13" s="127">
        <v>23</v>
      </c>
      <c r="D13" s="98">
        <v>89</v>
      </c>
      <c r="E13" s="121">
        <f t="shared" si="1"/>
        <v>25.842696629213485</v>
      </c>
      <c r="F13" s="98">
        <v>7.44</v>
      </c>
      <c r="G13" s="122">
        <f t="shared" si="2"/>
        <v>3.4734807297329953</v>
      </c>
      <c r="H13" s="98">
        <v>13</v>
      </c>
      <c r="I13" s="122">
        <f t="shared" si="3"/>
        <v>1.9878997407087295</v>
      </c>
      <c r="J13" s="98">
        <v>25</v>
      </c>
      <c r="K13" s="121">
        <f t="shared" si="4"/>
        <v>1.0337078651685394</v>
      </c>
      <c r="L13" s="130">
        <v>0.1</v>
      </c>
      <c r="M13" s="121">
        <f t="shared" si="5"/>
        <v>258.42696629213481</v>
      </c>
      <c r="N13" s="130">
        <v>1.58</v>
      </c>
      <c r="O13" s="121">
        <f t="shared" si="6"/>
        <v>16.35613710709714</v>
      </c>
      <c r="P13" s="98">
        <v>89</v>
      </c>
      <c r="Q13" s="133"/>
      <c r="R13" s="4"/>
      <c r="S13" s="4"/>
      <c r="T13" s="4"/>
      <c r="U13" s="4"/>
      <c r="V13" s="4"/>
      <c r="W13" s="6"/>
      <c r="X13" s="6"/>
      <c r="Y13" s="4"/>
    </row>
    <row r="14" spans="1:25" ht="17.25" thickTop="1" thickBot="1">
      <c r="A14" s="35">
        <f t="shared" si="0"/>
        <v>8</v>
      </c>
      <c r="B14" s="37" t="s">
        <v>163</v>
      </c>
      <c r="C14" s="127">
        <v>14</v>
      </c>
      <c r="D14" s="98">
        <v>89</v>
      </c>
      <c r="E14" s="121">
        <f t="shared" si="1"/>
        <v>15.730337078651685</v>
      </c>
      <c r="F14" s="98">
        <v>6.33</v>
      </c>
      <c r="G14" s="122">
        <f t="shared" si="2"/>
        <v>2.4850453520776754</v>
      </c>
      <c r="H14" s="98">
        <v>14</v>
      </c>
      <c r="I14" s="122">
        <f t="shared" si="3"/>
        <v>1.1235955056179774</v>
      </c>
      <c r="J14" s="98">
        <v>51</v>
      </c>
      <c r="K14" s="121">
        <f t="shared" si="4"/>
        <v>0.30843798193434674</v>
      </c>
      <c r="L14" s="130">
        <v>0.18</v>
      </c>
      <c r="M14" s="121">
        <f t="shared" si="5"/>
        <v>87.390761548064916</v>
      </c>
      <c r="N14" s="130">
        <v>1.33</v>
      </c>
      <c r="O14" s="121">
        <f t="shared" si="6"/>
        <v>11.827321111768184</v>
      </c>
      <c r="P14" s="98">
        <v>89</v>
      </c>
      <c r="Q14" s="133"/>
      <c r="R14" s="4"/>
      <c r="S14" s="4"/>
      <c r="T14" s="4"/>
      <c r="U14" s="4"/>
      <c r="V14" s="4"/>
      <c r="W14" s="6"/>
      <c r="X14" s="6"/>
      <c r="Y14" s="4"/>
    </row>
    <row r="15" spans="1:25" ht="17.25" thickTop="1" thickBot="1">
      <c r="A15" s="35">
        <f t="shared" si="0"/>
        <v>9</v>
      </c>
      <c r="B15" s="37" t="s">
        <v>166</v>
      </c>
      <c r="C15" s="127">
        <v>52</v>
      </c>
      <c r="D15" s="98">
        <v>89</v>
      </c>
      <c r="E15" s="121">
        <f t="shared" si="1"/>
        <v>58.426966292134829</v>
      </c>
      <c r="F15" s="98">
        <v>9.16</v>
      </c>
      <c r="G15" s="122">
        <f t="shared" si="2"/>
        <v>6.3784897698837151</v>
      </c>
      <c r="H15" s="98">
        <v>45</v>
      </c>
      <c r="I15" s="122">
        <f t="shared" si="3"/>
        <v>1.2983770287141072</v>
      </c>
      <c r="J15" s="98">
        <v>9</v>
      </c>
      <c r="K15" s="121">
        <f t="shared" si="4"/>
        <v>6.4918851435705367</v>
      </c>
      <c r="L15" s="130">
        <v>0.22</v>
      </c>
      <c r="M15" s="121">
        <f t="shared" si="5"/>
        <v>265.57711950970378</v>
      </c>
      <c r="N15" s="130">
        <v>0.63</v>
      </c>
      <c r="O15" s="121">
        <f t="shared" si="6"/>
        <v>92.741216336721948</v>
      </c>
      <c r="P15" s="98">
        <v>89</v>
      </c>
      <c r="Q15" s="133"/>
      <c r="R15" s="4"/>
      <c r="S15" s="4"/>
      <c r="T15" s="4"/>
      <c r="U15" s="4"/>
      <c r="V15" s="4"/>
      <c r="W15" s="6"/>
      <c r="X15" s="6"/>
      <c r="Y15" s="4"/>
    </row>
    <row r="16" spans="1:25" ht="17.25" thickTop="1" thickBot="1">
      <c r="A16" s="35">
        <f t="shared" si="0"/>
        <v>10</v>
      </c>
      <c r="B16" s="37" t="s">
        <v>169</v>
      </c>
      <c r="C16" s="127">
        <v>25</v>
      </c>
      <c r="D16" s="98">
        <v>89</v>
      </c>
      <c r="E16" s="121">
        <f t="shared" si="1"/>
        <v>28.08988764044944</v>
      </c>
      <c r="F16" s="98">
        <v>7.44</v>
      </c>
      <c r="G16" s="122">
        <f t="shared" si="2"/>
        <v>3.7755225323184729</v>
      </c>
      <c r="H16" s="98">
        <v>37</v>
      </c>
      <c r="I16" s="122">
        <f t="shared" si="3"/>
        <v>0.75918615244457943</v>
      </c>
      <c r="J16" s="98">
        <v>23</v>
      </c>
      <c r="K16" s="121">
        <f t="shared" si="4"/>
        <v>1.2212994626282365</v>
      </c>
      <c r="L16" s="130">
        <v>0.84</v>
      </c>
      <c r="M16" s="121">
        <f t="shared" si="5"/>
        <v>33.440342429106479</v>
      </c>
      <c r="N16" s="130">
        <v>1.1000000000000001</v>
      </c>
      <c r="O16" s="121">
        <f t="shared" si="6"/>
        <v>25.536261491317671</v>
      </c>
      <c r="P16" s="98">
        <v>89</v>
      </c>
      <c r="Q16" s="133">
        <v>0</v>
      </c>
      <c r="R16" s="4"/>
      <c r="S16" s="4"/>
      <c r="T16" s="4"/>
      <c r="U16" s="4"/>
      <c r="V16" s="4"/>
      <c r="W16" s="6"/>
      <c r="X16" s="6"/>
      <c r="Y16" s="4"/>
    </row>
    <row r="17" spans="1:25" ht="17.25" thickTop="1" thickBot="1">
      <c r="A17" s="35">
        <f t="shared" si="0"/>
        <v>11</v>
      </c>
      <c r="B17" s="37" t="s">
        <v>185</v>
      </c>
      <c r="C17" s="127">
        <v>22</v>
      </c>
      <c r="D17" s="98">
        <v>89</v>
      </c>
      <c r="E17" s="121">
        <f t="shared" si="1"/>
        <v>24.719101123595504</v>
      </c>
      <c r="F17" s="98">
        <v>10.42</v>
      </c>
      <c r="G17" s="122">
        <f t="shared" si="2"/>
        <v>2.3722745799995684</v>
      </c>
      <c r="H17" s="98">
        <v>11</v>
      </c>
      <c r="I17" s="122">
        <f t="shared" si="3"/>
        <v>2.2471910112359548</v>
      </c>
      <c r="J17" s="98">
        <v>16</v>
      </c>
      <c r="K17" s="121">
        <f t="shared" si="4"/>
        <v>1.544943820224719</v>
      </c>
      <c r="L17" s="130">
        <v>0.33</v>
      </c>
      <c r="M17" s="121">
        <f t="shared" si="5"/>
        <v>74.906367041198493</v>
      </c>
      <c r="N17" s="130">
        <v>0.28000000000000003</v>
      </c>
      <c r="O17" s="121">
        <f t="shared" si="6"/>
        <v>88.282504012841073</v>
      </c>
      <c r="P17" s="98">
        <v>89</v>
      </c>
      <c r="Q17" s="133"/>
      <c r="R17" s="4"/>
      <c r="S17" s="4"/>
      <c r="T17" s="4"/>
      <c r="U17" s="4"/>
      <c r="V17" s="4"/>
      <c r="W17" s="6"/>
      <c r="X17" s="6"/>
      <c r="Y17" s="4"/>
    </row>
    <row r="18" spans="1:25" ht="17.25" thickTop="1" thickBot="1">
      <c r="A18" s="35">
        <f t="shared" si="0"/>
        <v>12</v>
      </c>
      <c r="B18" s="37" t="s">
        <v>175</v>
      </c>
      <c r="C18" s="127">
        <v>36</v>
      </c>
      <c r="D18" s="98">
        <v>89</v>
      </c>
      <c r="E18" s="121">
        <f t="shared" si="1"/>
        <v>40.449438202247187</v>
      </c>
      <c r="F18" s="98">
        <v>9.3000000000000007</v>
      </c>
      <c r="G18" s="122">
        <f t="shared" si="2"/>
        <v>4.3494019572308797</v>
      </c>
      <c r="H18" s="98">
        <v>45</v>
      </c>
      <c r="I18" s="122">
        <f t="shared" si="3"/>
        <v>0.89887640449438189</v>
      </c>
      <c r="J18" s="98">
        <v>29</v>
      </c>
      <c r="K18" s="121">
        <f t="shared" si="4"/>
        <v>1.3948082138705926</v>
      </c>
      <c r="L18" s="130">
        <v>0.39</v>
      </c>
      <c r="M18" s="121">
        <f t="shared" si="5"/>
        <v>103.71650821089023</v>
      </c>
      <c r="N18" s="130">
        <v>0.69</v>
      </c>
      <c r="O18" s="121">
        <f t="shared" si="6"/>
        <v>58.622374206155349</v>
      </c>
      <c r="P18" s="98">
        <v>89</v>
      </c>
      <c r="Q18" s="133">
        <v>0</v>
      </c>
      <c r="R18" s="4"/>
      <c r="S18" s="4"/>
      <c r="T18" s="4"/>
      <c r="U18" s="4"/>
      <c r="V18" s="4"/>
      <c r="W18" s="6"/>
      <c r="X18" s="6"/>
      <c r="Y18" s="4"/>
    </row>
    <row r="19" spans="1:25" ht="17.25" thickTop="1" thickBot="1">
      <c r="A19" s="35">
        <f t="shared" si="0"/>
        <v>13</v>
      </c>
      <c r="B19" s="37" t="s">
        <v>39</v>
      </c>
      <c r="C19" s="127">
        <v>19</v>
      </c>
      <c r="D19" s="98">
        <v>89</v>
      </c>
      <c r="E19" s="121">
        <f t="shared" si="1"/>
        <v>21.348314606741571</v>
      </c>
      <c r="F19" s="98">
        <v>12.28</v>
      </c>
      <c r="G19" s="122">
        <f t="shared" si="2"/>
        <v>1.7384621015261867</v>
      </c>
      <c r="H19" s="98">
        <v>9</v>
      </c>
      <c r="I19" s="122">
        <f t="shared" si="3"/>
        <v>2.3720349563046188</v>
      </c>
      <c r="J19" s="98">
        <v>13</v>
      </c>
      <c r="K19" s="121">
        <f t="shared" si="4"/>
        <v>1.6421780466724285</v>
      </c>
      <c r="L19" s="130">
        <v>0.05</v>
      </c>
      <c r="M19" s="121">
        <f t="shared" si="5"/>
        <v>426.96629213483141</v>
      </c>
      <c r="N19" s="130">
        <v>0.3</v>
      </c>
      <c r="O19" s="121">
        <f t="shared" si="6"/>
        <v>71.161048689138568</v>
      </c>
      <c r="P19" s="98">
        <v>89</v>
      </c>
      <c r="Q19" s="133">
        <v>0</v>
      </c>
      <c r="R19" s="4"/>
      <c r="S19" s="4"/>
      <c r="T19" s="4"/>
      <c r="U19" s="4"/>
      <c r="V19" s="4"/>
      <c r="W19" s="6"/>
      <c r="X19" s="6"/>
      <c r="Y19" s="4"/>
    </row>
    <row r="20" spans="1:25" ht="17.25" thickTop="1" thickBot="1">
      <c r="A20" s="35">
        <f t="shared" si="0"/>
        <v>14</v>
      </c>
      <c r="B20" s="37" t="s">
        <v>183</v>
      </c>
      <c r="C20" s="127">
        <v>30</v>
      </c>
      <c r="D20" s="98">
        <v>89</v>
      </c>
      <c r="E20" s="121">
        <f t="shared" si="1"/>
        <v>33.707865168539328</v>
      </c>
      <c r="F20" s="98">
        <v>11</v>
      </c>
      <c r="G20" s="122">
        <f>IF(F20="",0,IF(F20=0,0,E20/F20))</f>
        <v>3.0643513789581207</v>
      </c>
      <c r="H20" s="98">
        <v>22.12</v>
      </c>
      <c r="I20" s="122">
        <f t="shared" si="3"/>
        <v>1.5238637056301685</v>
      </c>
      <c r="J20" s="98">
        <v>18</v>
      </c>
      <c r="K20" s="121">
        <f t="shared" si="4"/>
        <v>1.8726591760299627</v>
      </c>
      <c r="L20" s="130">
        <v>1.2</v>
      </c>
      <c r="M20" s="121">
        <f t="shared" si="5"/>
        <v>28.08988764044944</v>
      </c>
      <c r="N20" s="130">
        <v>0.56999999999999995</v>
      </c>
      <c r="O20" s="121">
        <f t="shared" si="6"/>
        <v>59.136605558840934</v>
      </c>
      <c r="P20" s="98">
        <v>89</v>
      </c>
      <c r="Q20" s="133">
        <v>0</v>
      </c>
      <c r="R20" s="4"/>
      <c r="S20" s="4"/>
      <c r="T20" s="4"/>
      <c r="U20" s="4"/>
      <c r="V20" s="4"/>
      <c r="W20" s="6"/>
      <c r="X20" s="6"/>
      <c r="Y20" s="4"/>
    </row>
    <row r="21" spans="1:25" ht="17.25" thickTop="1" thickBot="1">
      <c r="A21" s="35">
        <f t="shared" si="0"/>
        <v>15</v>
      </c>
      <c r="B21" s="37" t="s">
        <v>170</v>
      </c>
      <c r="C21" s="127">
        <v>21</v>
      </c>
      <c r="D21" s="98">
        <v>89</v>
      </c>
      <c r="E21" s="121">
        <f t="shared" si="1"/>
        <v>23.595505617977526</v>
      </c>
      <c r="F21" s="98">
        <v>9.68</v>
      </c>
      <c r="G21" s="122">
        <f t="shared" si="2"/>
        <v>2.4375522332621413</v>
      </c>
      <c r="H21" s="98">
        <v>16</v>
      </c>
      <c r="I21" s="122">
        <f t="shared" si="3"/>
        <v>1.4747191011235954</v>
      </c>
      <c r="J21" s="98">
        <v>64</v>
      </c>
      <c r="K21" s="121">
        <f t="shared" si="4"/>
        <v>0.36867977528089885</v>
      </c>
      <c r="L21" s="130">
        <v>0.17</v>
      </c>
      <c r="M21" s="121">
        <f t="shared" si="5"/>
        <v>138.79709187045603</v>
      </c>
      <c r="N21" s="130">
        <v>0.93</v>
      </c>
      <c r="O21" s="121">
        <f t="shared" si="6"/>
        <v>25.371511417180134</v>
      </c>
      <c r="P21" s="98">
        <v>89</v>
      </c>
      <c r="Q21" s="133"/>
      <c r="R21" s="4"/>
      <c r="S21" s="4"/>
      <c r="T21" s="4"/>
      <c r="U21" s="4"/>
      <c r="V21" s="4"/>
      <c r="W21" s="6"/>
      <c r="X21" s="6"/>
      <c r="Y21" s="4"/>
    </row>
    <row r="22" spans="1:25" ht="17.25" thickTop="1" thickBot="1">
      <c r="A22" s="35">
        <f t="shared" si="0"/>
        <v>16</v>
      </c>
      <c r="B22" s="37" t="s">
        <v>171</v>
      </c>
      <c r="C22" s="127">
        <v>7</v>
      </c>
      <c r="D22" s="98">
        <v>89</v>
      </c>
      <c r="E22" s="121">
        <f t="shared" si="1"/>
        <v>7.8651685393258424</v>
      </c>
      <c r="F22" s="98">
        <v>5.8</v>
      </c>
      <c r="G22" s="122">
        <f t="shared" si="2"/>
        <v>1.3560635412630764</v>
      </c>
      <c r="H22" s="98">
        <v>3.3</v>
      </c>
      <c r="I22" s="122">
        <f t="shared" si="3"/>
        <v>2.3833844058563161</v>
      </c>
      <c r="J22" s="98">
        <v>77</v>
      </c>
      <c r="K22" s="121">
        <f t="shared" si="4"/>
        <v>0.10214504596527069</v>
      </c>
      <c r="L22" s="130">
        <v>0.31</v>
      </c>
      <c r="M22" s="121">
        <f t="shared" si="5"/>
        <v>25.371511417180137</v>
      </c>
      <c r="N22" s="130">
        <v>0.05</v>
      </c>
      <c r="O22" s="121">
        <f t="shared" si="6"/>
        <v>157.30337078651684</v>
      </c>
      <c r="P22" s="98"/>
      <c r="Q22" s="133">
        <v>100</v>
      </c>
      <c r="R22" s="4"/>
      <c r="S22" s="4"/>
      <c r="T22" s="4"/>
      <c r="U22" s="4"/>
      <c r="V22" s="4"/>
      <c r="W22" s="6"/>
      <c r="X22" s="6"/>
      <c r="Y22" s="4"/>
    </row>
    <row r="23" spans="1:25" ht="17.25" thickTop="1" thickBot="1">
      <c r="A23" s="35">
        <f t="shared" si="0"/>
        <v>17</v>
      </c>
      <c r="B23" s="37" t="s">
        <v>74</v>
      </c>
      <c r="C23" s="127">
        <v>14</v>
      </c>
      <c r="D23" s="98">
        <v>74</v>
      </c>
      <c r="E23" s="121">
        <f t="shared" si="1"/>
        <v>18.918918918918919</v>
      </c>
      <c r="F23" s="98">
        <v>6.19</v>
      </c>
      <c r="G23" s="122">
        <f t="shared" si="2"/>
        <v>3.0563681613762386</v>
      </c>
      <c r="H23" s="98">
        <v>3</v>
      </c>
      <c r="I23" s="122">
        <f t="shared" si="3"/>
        <v>6.3063063063063067</v>
      </c>
      <c r="J23" s="98">
        <v>0</v>
      </c>
      <c r="K23" s="121">
        <f t="shared" si="4"/>
        <v>0</v>
      </c>
      <c r="L23" s="130">
        <v>0.22</v>
      </c>
      <c r="M23" s="121">
        <f t="shared" si="5"/>
        <v>85.995085995086001</v>
      </c>
      <c r="N23" s="130">
        <v>0.6</v>
      </c>
      <c r="O23" s="121">
        <f t="shared" si="6"/>
        <v>31.531531531531535</v>
      </c>
      <c r="P23" s="98">
        <v>74</v>
      </c>
      <c r="Q23" s="133"/>
      <c r="R23" s="4"/>
      <c r="S23" s="4"/>
      <c r="T23" s="4"/>
      <c r="U23" s="4"/>
      <c r="V23" s="4"/>
      <c r="W23" s="6"/>
      <c r="X23" s="6"/>
      <c r="Y23" s="4"/>
    </row>
    <row r="24" spans="1:25" ht="17.25" thickTop="1" thickBot="1">
      <c r="A24" s="35">
        <f t="shared" si="0"/>
        <v>18</v>
      </c>
      <c r="B24" s="37" t="s">
        <v>172</v>
      </c>
      <c r="C24" s="128">
        <v>25</v>
      </c>
      <c r="D24" s="99">
        <v>89</v>
      </c>
      <c r="E24" s="121">
        <f t="shared" si="1"/>
        <v>28.08988764044944</v>
      </c>
      <c r="F24" s="99">
        <v>9.3000000000000007</v>
      </c>
      <c r="G24" s="122">
        <f t="shared" si="2"/>
        <v>3.0204180258547781</v>
      </c>
      <c r="H24" s="99">
        <v>20</v>
      </c>
      <c r="I24" s="122">
        <f t="shared" si="3"/>
        <v>1.404494382022472</v>
      </c>
      <c r="J24" s="99">
        <v>41</v>
      </c>
      <c r="K24" s="121">
        <f t="shared" si="4"/>
        <v>0.68511921074266924</v>
      </c>
      <c r="L24" s="162">
        <v>0.65</v>
      </c>
      <c r="M24" s="121">
        <f t="shared" si="5"/>
        <v>43.215211754537599</v>
      </c>
      <c r="N24" s="162">
        <v>0.68</v>
      </c>
      <c r="O24" s="121">
        <f t="shared" si="6"/>
        <v>41.308658294778589</v>
      </c>
      <c r="P24" s="99">
        <v>89</v>
      </c>
      <c r="Q24" s="134"/>
      <c r="R24" s="4"/>
      <c r="S24" s="4"/>
      <c r="T24" s="4"/>
      <c r="U24" s="4"/>
      <c r="V24" s="4"/>
      <c r="W24" s="6"/>
      <c r="X24" s="6"/>
      <c r="Y24" s="4"/>
    </row>
    <row r="25" spans="1:25" ht="17.25" thickTop="1" thickBot="1">
      <c r="A25" s="35">
        <f t="shared" si="0"/>
        <v>19</v>
      </c>
      <c r="B25" s="37" t="s">
        <v>182</v>
      </c>
      <c r="C25" s="128">
        <v>45</v>
      </c>
      <c r="D25" s="99">
        <v>89</v>
      </c>
      <c r="E25" s="121">
        <f t="shared" si="1"/>
        <v>50.561797752808992</v>
      </c>
      <c r="F25" s="99">
        <v>11</v>
      </c>
      <c r="G25" s="122">
        <f t="shared" si="2"/>
        <v>4.5965270684371813</v>
      </c>
      <c r="H25" s="99">
        <v>19</v>
      </c>
      <c r="I25" s="122">
        <f>IF(H25="",0,IF(H25=0,0,E25/H25))</f>
        <v>2.6611472501478417</v>
      </c>
      <c r="J25" s="99">
        <v>35</v>
      </c>
      <c r="K25" s="121">
        <f t="shared" si="4"/>
        <v>1.4446227929373998</v>
      </c>
      <c r="L25" s="162">
        <v>0.22</v>
      </c>
      <c r="M25" s="121">
        <f t="shared" si="5"/>
        <v>229.82635342185907</v>
      </c>
      <c r="N25" s="162">
        <v>0.3</v>
      </c>
      <c r="O25" s="121">
        <f t="shared" si="6"/>
        <v>168.53932584269666</v>
      </c>
      <c r="P25" s="99">
        <v>89</v>
      </c>
      <c r="Q25" s="134"/>
      <c r="R25" s="4"/>
      <c r="S25" s="4"/>
      <c r="T25" s="4"/>
      <c r="U25" s="4"/>
      <c r="V25" s="4"/>
      <c r="W25" s="6"/>
      <c r="X25" s="6"/>
      <c r="Y25" s="4"/>
    </row>
    <row r="26" spans="1:25" ht="17.25" thickTop="1" thickBot="1">
      <c r="A26" s="35">
        <f t="shared" si="0"/>
        <v>20</v>
      </c>
      <c r="B26" s="177" t="s">
        <v>186</v>
      </c>
      <c r="C26" s="178">
        <v>5</v>
      </c>
      <c r="D26" s="179">
        <v>16</v>
      </c>
      <c r="E26" s="180">
        <f t="shared" si="1"/>
        <v>31.25</v>
      </c>
      <c r="F26" s="179">
        <v>9.6</v>
      </c>
      <c r="G26" s="181">
        <f t="shared" si="2"/>
        <v>3.2552083333333335</v>
      </c>
      <c r="H26" s="179">
        <v>18</v>
      </c>
      <c r="I26" s="181">
        <f t="shared" si="3"/>
        <v>1.7361111111111112</v>
      </c>
      <c r="J26" s="179">
        <v>45</v>
      </c>
      <c r="K26" s="180">
        <f t="shared" si="4"/>
        <v>0.69444444444444442</v>
      </c>
      <c r="L26" s="182">
        <v>0.55000000000000004</v>
      </c>
      <c r="M26" s="180">
        <f t="shared" si="5"/>
        <v>56.818181818181813</v>
      </c>
      <c r="N26" s="182">
        <v>0.54</v>
      </c>
      <c r="O26" s="180">
        <f t="shared" si="6"/>
        <v>57.870370370370367</v>
      </c>
      <c r="P26" s="179"/>
      <c r="Q26" s="183">
        <v>16</v>
      </c>
      <c r="R26" s="4"/>
      <c r="S26" s="4"/>
      <c r="T26" s="4"/>
      <c r="U26" s="4"/>
      <c r="V26" s="4"/>
      <c r="W26" s="6"/>
      <c r="X26" s="6"/>
      <c r="Y26" s="4"/>
    </row>
    <row r="27" spans="1:25" ht="17.25" thickTop="1" thickBot="1">
      <c r="A27" s="35">
        <f t="shared" si="0"/>
        <v>21</v>
      </c>
      <c r="B27" s="184" t="s">
        <v>187</v>
      </c>
      <c r="C27" s="191">
        <v>25</v>
      </c>
      <c r="D27" s="188">
        <v>89</v>
      </c>
      <c r="E27" s="180">
        <f t="shared" si="1"/>
        <v>28.08988764044944</v>
      </c>
      <c r="F27" s="188">
        <v>8.9</v>
      </c>
      <c r="G27" s="181">
        <f t="shared" si="2"/>
        <v>3.1561671506122964</v>
      </c>
      <c r="H27" s="188">
        <v>40</v>
      </c>
      <c r="I27" s="181">
        <f t="shared" si="3"/>
        <v>0.702247191011236</v>
      </c>
      <c r="J27" s="188">
        <v>23</v>
      </c>
      <c r="K27" s="180">
        <f t="shared" si="4"/>
        <v>1.2212994626282365</v>
      </c>
      <c r="L27" s="188">
        <v>0.22</v>
      </c>
      <c r="M27" s="180">
        <f t="shared" si="5"/>
        <v>127.68130745658837</v>
      </c>
      <c r="N27" s="188">
        <v>0.2</v>
      </c>
      <c r="O27" s="180">
        <f t="shared" si="6"/>
        <v>140.44943820224719</v>
      </c>
      <c r="P27" s="179">
        <v>89</v>
      </c>
      <c r="Q27" s="185"/>
    </row>
    <row r="28" spans="1:25" ht="17.25" thickTop="1" thickBot="1">
      <c r="A28" s="35">
        <f t="shared" si="0"/>
        <v>22</v>
      </c>
      <c r="B28" s="184" t="s">
        <v>188</v>
      </c>
      <c r="C28" s="191">
        <v>25</v>
      </c>
      <c r="D28" s="188">
        <v>90</v>
      </c>
      <c r="E28" s="180">
        <f t="shared" si="1"/>
        <v>27.777777777777779</v>
      </c>
      <c r="F28" s="188">
        <v>11.17</v>
      </c>
      <c r="G28" s="181">
        <f t="shared" si="2"/>
        <v>2.4868198547697205</v>
      </c>
      <c r="H28" s="188">
        <v>12</v>
      </c>
      <c r="I28" s="181">
        <f t="shared" si="3"/>
        <v>2.3148148148148149</v>
      </c>
      <c r="J28" s="188">
        <v>20</v>
      </c>
      <c r="K28" s="180">
        <f t="shared" si="4"/>
        <v>1.3888888888888888</v>
      </c>
      <c r="L28" s="188">
        <v>0.05</v>
      </c>
      <c r="M28" s="180">
        <f t="shared" si="5"/>
        <v>555.55555555555554</v>
      </c>
      <c r="N28" s="188">
        <v>0.1</v>
      </c>
      <c r="O28" s="180">
        <f t="shared" si="6"/>
        <v>277.77777777777777</v>
      </c>
      <c r="P28" s="179">
        <v>90</v>
      </c>
      <c r="Q28" s="185"/>
    </row>
    <row r="29" spans="1:25" ht="17.25" thickTop="1" thickBot="1">
      <c r="A29" s="35">
        <f t="shared" si="0"/>
        <v>23</v>
      </c>
      <c r="B29" s="184" t="s">
        <v>189</v>
      </c>
      <c r="C29" s="191">
        <v>20</v>
      </c>
      <c r="D29" s="188">
        <v>90</v>
      </c>
      <c r="E29" s="180">
        <f t="shared" si="1"/>
        <v>22.222222222222221</v>
      </c>
      <c r="F29" s="188">
        <v>9.68</v>
      </c>
      <c r="G29" s="181">
        <f t="shared" si="2"/>
        <v>2.2956841138659319</v>
      </c>
      <c r="H29" s="188">
        <v>9</v>
      </c>
      <c r="I29" s="181">
        <f t="shared" si="3"/>
        <v>2.4691358024691357</v>
      </c>
      <c r="J29" s="188">
        <v>12.5</v>
      </c>
      <c r="K29" s="180">
        <f t="shared" si="4"/>
        <v>1.7777777777777777</v>
      </c>
      <c r="L29" s="188">
        <v>0.02</v>
      </c>
      <c r="M29" s="180">
        <f t="shared" si="5"/>
        <v>1111.1111111111111</v>
      </c>
      <c r="N29" s="188">
        <v>0.28000000000000003</v>
      </c>
      <c r="O29" s="180">
        <f t="shared" si="6"/>
        <v>79.365079365079353</v>
      </c>
      <c r="P29" s="179">
        <v>90</v>
      </c>
      <c r="Q29" s="185"/>
    </row>
    <row r="30" spans="1:25" ht="17.25" thickTop="1" thickBot="1">
      <c r="A30" s="35">
        <f t="shared" si="0"/>
        <v>24</v>
      </c>
      <c r="B30" s="186" t="s">
        <v>177</v>
      </c>
      <c r="C30" s="192">
        <v>8</v>
      </c>
      <c r="D30" s="189">
        <v>89</v>
      </c>
      <c r="E30" s="180">
        <f t="shared" si="1"/>
        <v>8.9887640449438209</v>
      </c>
      <c r="F30" s="189">
        <v>0</v>
      </c>
      <c r="G30" s="181">
        <f t="shared" si="2"/>
        <v>0</v>
      </c>
      <c r="H30" s="189">
        <v>281</v>
      </c>
      <c r="I30" s="181">
        <f t="shared" si="3"/>
        <v>3.1988484145707548E-2</v>
      </c>
      <c r="J30" s="189"/>
      <c r="K30" s="180">
        <f t="shared" si="4"/>
        <v>0</v>
      </c>
      <c r="L30" s="189"/>
      <c r="M30" s="180">
        <f t="shared" si="5"/>
        <v>0</v>
      </c>
      <c r="N30" s="190"/>
      <c r="O30" s="180">
        <f t="shared" si="6"/>
        <v>0</v>
      </c>
      <c r="P30" s="179">
        <v>89</v>
      </c>
      <c r="Q30" s="187"/>
    </row>
    <row r="31" spans="1:25" ht="17.25" thickTop="1" thickBot="1">
      <c r="A31" s="35">
        <f t="shared" si="0"/>
        <v>25</v>
      </c>
      <c r="B31" s="184" t="s">
        <v>190</v>
      </c>
      <c r="C31" s="191">
        <v>180</v>
      </c>
      <c r="D31" s="188">
        <v>90</v>
      </c>
      <c r="E31" s="180">
        <f t="shared" si="1"/>
        <v>200</v>
      </c>
      <c r="F31" s="188">
        <v>0</v>
      </c>
      <c r="G31" s="181">
        <f t="shared" si="2"/>
        <v>0</v>
      </c>
      <c r="H31" s="188"/>
      <c r="I31" s="181">
        <f t="shared" si="3"/>
        <v>0</v>
      </c>
      <c r="J31" s="188">
        <v>0</v>
      </c>
      <c r="K31" s="180">
        <f t="shared" si="4"/>
        <v>0</v>
      </c>
      <c r="L31" s="188">
        <v>24</v>
      </c>
      <c r="M31" s="180">
        <f t="shared" si="5"/>
        <v>8.3333333333333339</v>
      </c>
      <c r="N31" s="188">
        <v>12</v>
      </c>
      <c r="O31" s="180">
        <f t="shared" si="6"/>
        <v>16.666666666666668</v>
      </c>
      <c r="P31" s="179">
        <v>90</v>
      </c>
      <c r="Q31" s="185"/>
    </row>
    <row r="32" spans="1:25" ht="16.5" thickTop="1">
      <c r="A32" s="35">
        <f t="shared" si="0"/>
        <v>26</v>
      </c>
      <c r="B32" s="184" t="s">
        <v>191</v>
      </c>
      <c r="C32" s="191">
        <v>110</v>
      </c>
      <c r="D32" s="188">
        <v>90</v>
      </c>
      <c r="E32" s="180">
        <f t="shared" si="1"/>
        <v>122.22222222222223</v>
      </c>
      <c r="F32" s="188">
        <v>35</v>
      </c>
      <c r="G32" s="181">
        <f t="shared" si="2"/>
        <v>3.4920634920634921</v>
      </c>
      <c r="H32" s="188"/>
      <c r="I32" s="181">
        <f t="shared" si="3"/>
        <v>0</v>
      </c>
      <c r="J32" s="188">
        <v>0</v>
      </c>
      <c r="K32" s="180">
        <f t="shared" si="4"/>
        <v>0</v>
      </c>
      <c r="L32" s="188"/>
      <c r="M32" s="180">
        <f t="shared" si="5"/>
        <v>0</v>
      </c>
      <c r="N32" s="188"/>
      <c r="O32" s="180">
        <f t="shared" si="6"/>
        <v>0</v>
      </c>
      <c r="P32" s="179">
        <v>90</v>
      </c>
      <c r="Q32" s="185"/>
    </row>
  </sheetData>
  <mergeCells count="1">
    <mergeCell ref="A1:K1"/>
  </mergeCells>
  <phoneticPr fontId="7" type="noConversion"/>
  <pageMargins left="0.7" right="0.7" top="0.75" bottom="0.75" header="0.3" footer="0.3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27"/>
  <sheetViews>
    <sheetView zoomScale="76" zoomScaleNormal="76" workbookViewId="0">
      <selection activeCell="A5" sqref="A5:A27"/>
    </sheetView>
  </sheetViews>
  <sheetFormatPr defaultColWidth="11.5703125" defaultRowHeight="12.75"/>
  <cols>
    <col min="1" max="1" width="4" bestFit="1" customWidth="1"/>
    <col min="2" max="13" width="8.5703125" customWidth="1"/>
  </cols>
  <sheetData>
    <row r="1" spans="1:13" ht="37.5" customHeight="1">
      <c r="B1" s="240" t="s">
        <v>53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</row>
    <row r="2" spans="1:13">
      <c r="B2" t="s">
        <v>174</v>
      </c>
      <c r="C2" s="176">
        <f>C4+5.4</f>
        <v>8</v>
      </c>
      <c r="D2" s="176">
        <f t="shared" ref="D2:M2" si="0">D4+5.4</f>
        <v>8.1000000000000014</v>
      </c>
      <c r="E2" s="176">
        <f t="shared" si="0"/>
        <v>8.1999999999999993</v>
      </c>
      <c r="F2" s="176">
        <f t="shared" si="0"/>
        <v>8.3000000000000007</v>
      </c>
      <c r="G2" s="176">
        <f t="shared" si="0"/>
        <v>8.4</v>
      </c>
      <c r="H2" s="176">
        <f t="shared" si="0"/>
        <v>8.5</v>
      </c>
      <c r="I2" s="176">
        <f t="shared" si="0"/>
        <v>8.6000000000000014</v>
      </c>
      <c r="J2" s="176">
        <f t="shared" si="0"/>
        <v>8.6999999999999993</v>
      </c>
      <c r="K2" s="176">
        <f t="shared" si="0"/>
        <v>8.8000000000000007</v>
      </c>
      <c r="L2" s="176">
        <f t="shared" si="0"/>
        <v>8.9</v>
      </c>
      <c r="M2" s="176">
        <f t="shared" si="0"/>
        <v>9</v>
      </c>
    </row>
    <row r="3" spans="1:13" ht="15.75">
      <c r="C3" s="243" t="s">
        <v>54</v>
      </c>
      <c r="D3" s="243"/>
      <c r="E3" s="243"/>
      <c r="F3" s="243"/>
      <c r="G3" s="243"/>
      <c r="H3" s="243"/>
      <c r="I3" s="243"/>
      <c r="J3" s="243"/>
      <c r="K3" s="243"/>
      <c r="L3" s="243"/>
      <c r="M3" s="243"/>
    </row>
    <row r="4" spans="1:13" ht="16.5" thickBot="1">
      <c r="B4" s="38"/>
      <c r="C4" s="39">
        <v>2.6</v>
      </c>
      <c r="D4" s="40">
        <v>2.7</v>
      </c>
      <c r="E4" s="40">
        <v>2.8</v>
      </c>
      <c r="F4" s="40">
        <v>2.9</v>
      </c>
      <c r="G4" s="40">
        <v>3</v>
      </c>
      <c r="H4" s="40">
        <v>3.1</v>
      </c>
      <c r="I4" s="40">
        <v>3.2</v>
      </c>
      <c r="J4" s="40">
        <v>3.3</v>
      </c>
      <c r="K4" s="40">
        <v>3.4</v>
      </c>
      <c r="L4" s="40">
        <v>3.5</v>
      </c>
      <c r="M4" s="41">
        <v>3.6</v>
      </c>
    </row>
    <row r="5" spans="1:13" ht="16.5" thickTop="1">
      <c r="A5" s="242" t="s">
        <v>55</v>
      </c>
      <c r="B5" s="42">
        <v>3</v>
      </c>
      <c r="C5" s="45">
        <v>4.5</v>
      </c>
      <c r="D5" s="46">
        <v>4.5</v>
      </c>
      <c r="E5" s="46">
        <v>4.5</v>
      </c>
      <c r="F5" s="46">
        <v>4.55</v>
      </c>
      <c r="G5" s="46">
        <v>4.5999999999999996</v>
      </c>
      <c r="H5" s="46">
        <v>4.6500000000000004</v>
      </c>
      <c r="I5" s="46">
        <v>4.7</v>
      </c>
      <c r="J5" s="46">
        <v>4.75</v>
      </c>
      <c r="K5" s="46">
        <v>4.8</v>
      </c>
      <c r="L5" s="46">
        <v>4.8</v>
      </c>
      <c r="M5" s="47">
        <v>4.8</v>
      </c>
    </row>
    <row r="6" spans="1:13" ht="15.75">
      <c r="A6" s="242"/>
      <c r="B6" s="43">
        <v>3.1</v>
      </c>
      <c r="C6" s="48">
        <v>4.55</v>
      </c>
      <c r="D6" s="49">
        <v>4.55</v>
      </c>
      <c r="E6" s="49">
        <v>4.5999999999999996</v>
      </c>
      <c r="F6" s="49">
        <v>4.5999999999999996</v>
      </c>
      <c r="G6" s="49">
        <v>4.6500000000000004</v>
      </c>
      <c r="H6" s="49">
        <v>4.7</v>
      </c>
      <c r="I6" s="49">
        <v>4.75</v>
      </c>
      <c r="J6" s="49">
        <v>4.8</v>
      </c>
      <c r="K6" s="49">
        <v>4.8499999999999996</v>
      </c>
      <c r="L6" s="49">
        <v>4.8499999999999996</v>
      </c>
      <c r="M6" s="50">
        <v>4.9000000000000004</v>
      </c>
    </row>
    <row r="7" spans="1:13" ht="15.75">
      <c r="A7" s="242"/>
      <c r="B7" s="43">
        <v>3.2</v>
      </c>
      <c r="C7" s="48">
        <v>4.5999999999999996</v>
      </c>
      <c r="D7" s="49">
        <v>4.6500000000000004</v>
      </c>
      <c r="E7" s="49">
        <v>4.7</v>
      </c>
      <c r="F7" s="49">
        <v>4.7</v>
      </c>
      <c r="G7" s="49">
        <v>4.7</v>
      </c>
      <c r="H7" s="49">
        <v>4.75</v>
      </c>
      <c r="I7" s="49">
        <v>4.8</v>
      </c>
      <c r="J7" s="49">
        <v>4.8499999999999996</v>
      </c>
      <c r="K7" s="49">
        <v>4.9000000000000004</v>
      </c>
      <c r="L7" s="49">
        <v>4.95</v>
      </c>
      <c r="M7" s="50">
        <v>5</v>
      </c>
    </row>
    <row r="8" spans="1:13" ht="15.75">
      <c r="A8" s="242"/>
      <c r="B8" s="43">
        <v>3.3</v>
      </c>
      <c r="C8" s="48">
        <v>4.6500000000000004</v>
      </c>
      <c r="D8" s="49">
        <v>4.6900000000000004</v>
      </c>
      <c r="E8" s="49">
        <v>4.7300000000000004</v>
      </c>
      <c r="F8" s="49">
        <v>4.7699999999999996</v>
      </c>
      <c r="G8" s="49">
        <v>4.8099999999999996</v>
      </c>
      <c r="H8" s="49">
        <v>4.8499999999999996</v>
      </c>
      <c r="I8" s="49">
        <v>4.8499999999999996</v>
      </c>
      <c r="J8" s="49">
        <v>4.93</v>
      </c>
      <c r="K8" s="49">
        <v>4.95</v>
      </c>
      <c r="L8" s="49">
        <v>5.01</v>
      </c>
      <c r="M8" s="50">
        <v>5.05</v>
      </c>
    </row>
    <row r="9" spans="1:13" ht="15.75">
      <c r="A9" s="242"/>
      <c r="B9" s="43">
        <v>3.4</v>
      </c>
      <c r="C9" s="48">
        <v>4.7</v>
      </c>
      <c r="D9" s="49">
        <v>4.75</v>
      </c>
      <c r="E9" s="49">
        <v>4.8</v>
      </c>
      <c r="F9" s="49">
        <v>4.8449999999999998</v>
      </c>
      <c r="G9" s="49">
        <v>4.9000000000000004</v>
      </c>
      <c r="H9" s="49">
        <v>4.9249999999999998</v>
      </c>
      <c r="I9" s="49">
        <v>4.9000000000000004</v>
      </c>
      <c r="J9" s="49">
        <v>4.95</v>
      </c>
      <c r="K9" s="49">
        <v>5</v>
      </c>
      <c r="L9" s="49">
        <v>5.085</v>
      </c>
      <c r="M9" s="50">
        <v>5.0999999999999996</v>
      </c>
    </row>
    <row r="10" spans="1:13" ht="15.75">
      <c r="A10" s="242"/>
      <c r="B10" s="43">
        <v>3.5</v>
      </c>
      <c r="C10" s="48">
        <v>4.8</v>
      </c>
      <c r="D10" s="49">
        <v>4.84</v>
      </c>
      <c r="E10" s="49">
        <v>4.88</v>
      </c>
      <c r="F10" s="49">
        <v>4.92</v>
      </c>
      <c r="G10" s="49">
        <v>4.96</v>
      </c>
      <c r="H10" s="49">
        <v>5</v>
      </c>
      <c r="I10" s="49">
        <v>5.04</v>
      </c>
      <c r="J10" s="49">
        <v>5.08</v>
      </c>
      <c r="K10" s="49">
        <v>5.08</v>
      </c>
      <c r="L10" s="49">
        <v>5.15</v>
      </c>
      <c r="M10" s="50">
        <v>5.16</v>
      </c>
    </row>
    <row r="11" spans="1:13" ht="15.75">
      <c r="A11" s="242"/>
      <c r="B11" s="43">
        <v>3.6</v>
      </c>
      <c r="C11" s="48">
        <v>4.9000000000000004</v>
      </c>
      <c r="D11" s="49">
        <v>4.9000000000000004</v>
      </c>
      <c r="E11" s="49">
        <v>4.9000000000000004</v>
      </c>
      <c r="F11" s="49">
        <v>4.9950000000000001</v>
      </c>
      <c r="G11" s="49">
        <v>5</v>
      </c>
      <c r="H11" s="49">
        <v>5.0750000000000002</v>
      </c>
      <c r="I11" s="49">
        <v>5.0999999999999996</v>
      </c>
      <c r="J11" s="49">
        <v>5.1550000000000002</v>
      </c>
      <c r="K11" s="49">
        <v>5.0999999999999996</v>
      </c>
      <c r="L11" s="49">
        <v>5.15</v>
      </c>
      <c r="M11" s="50">
        <v>5.2</v>
      </c>
    </row>
    <row r="12" spans="1:13" ht="15.75">
      <c r="A12" s="242"/>
      <c r="B12" s="43">
        <v>3.7</v>
      </c>
      <c r="C12" s="48">
        <v>4.95</v>
      </c>
      <c r="D12" s="49">
        <v>4.99</v>
      </c>
      <c r="E12" s="49">
        <v>5.01</v>
      </c>
      <c r="F12" s="49">
        <v>5.07</v>
      </c>
      <c r="G12" s="49">
        <v>5.07</v>
      </c>
      <c r="H12" s="49">
        <v>5.15</v>
      </c>
      <c r="I12" s="49">
        <v>5.13</v>
      </c>
      <c r="J12" s="49">
        <v>5.23</v>
      </c>
      <c r="K12" s="49">
        <v>5.19</v>
      </c>
      <c r="L12" s="49">
        <v>5.2</v>
      </c>
      <c r="M12" s="50">
        <v>5.25</v>
      </c>
    </row>
    <row r="13" spans="1:13" ht="15.75">
      <c r="A13" s="242"/>
      <c r="B13" s="43">
        <v>3.8</v>
      </c>
      <c r="C13" s="48">
        <v>5</v>
      </c>
      <c r="D13" s="49">
        <v>5.0650000000000004</v>
      </c>
      <c r="E13" s="49">
        <v>5.0999999999999996</v>
      </c>
      <c r="F13" s="49">
        <v>5.1675000000000004</v>
      </c>
      <c r="G13" s="49">
        <v>5.0999999999999996</v>
      </c>
      <c r="H13" s="49">
        <v>5.15</v>
      </c>
      <c r="I13" s="49">
        <v>5.2</v>
      </c>
      <c r="J13" s="49">
        <v>5.3274999999999997</v>
      </c>
      <c r="K13" s="49">
        <v>5.3</v>
      </c>
      <c r="L13" s="49">
        <v>5.3</v>
      </c>
      <c r="M13" s="50">
        <v>5.3</v>
      </c>
    </row>
    <row r="14" spans="1:13" ht="15.75">
      <c r="A14" s="242"/>
      <c r="B14" s="43">
        <v>3.9</v>
      </c>
      <c r="C14" s="48">
        <v>5.05</v>
      </c>
      <c r="D14" s="49">
        <v>5.14</v>
      </c>
      <c r="E14" s="49">
        <v>5.1100000000000003</v>
      </c>
      <c r="F14" s="49">
        <v>5.2649999999999997</v>
      </c>
      <c r="G14" s="49">
        <v>5.17</v>
      </c>
      <c r="H14" s="49">
        <v>5.2</v>
      </c>
      <c r="I14" s="49">
        <v>5.23</v>
      </c>
      <c r="J14" s="49">
        <v>5.4249999999999998</v>
      </c>
      <c r="K14" s="49">
        <v>5.29</v>
      </c>
      <c r="L14" s="49">
        <v>5.3</v>
      </c>
      <c r="M14" s="50">
        <v>5.35</v>
      </c>
    </row>
    <row r="15" spans="1:13" ht="15.75">
      <c r="A15" s="242"/>
      <c r="B15" s="43">
        <v>4</v>
      </c>
      <c r="C15" s="48">
        <v>5.0999999999999996</v>
      </c>
      <c r="D15" s="49">
        <v>5.1875</v>
      </c>
      <c r="E15" s="49">
        <v>5.2</v>
      </c>
      <c r="F15" s="49">
        <v>5.1875</v>
      </c>
      <c r="G15" s="49">
        <v>5.3</v>
      </c>
      <c r="H15" s="49">
        <v>5.2474999999999996</v>
      </c>
      <c r="I15" s="49">
        <v>5.3</v>
      </c>
      <c r="J15" s="49">
        <v>5.3075000000000001</v>
      </c>
      <c r="K15" s="49">
        <v>5.4</v>
      </c>
      <c r="L15" s="49">
        <v>5.4175000000000004</v>
      </c>
      <c r="M15" s="50">
        <v>5.5</v>
      </c>
    </row>
    <row r="16" spans="1:13" ht="15.75">
      <c r="A16" s="242"/>
      <c r="B16" s="43">
        <v>4.0999999999999996</v>
      </c>
      <c r="C16" s="48">
        <v>5.2</v>
      </c>
      <c r="D16" s="49">
        <v>5.2350000000000003</v>
      </c>
      <c r="E16" s="49">
        <v>5.27</v>
      </c>
      <c r="F16" s="49">
        <v>5.2350000000000003</v>
      </c>
      <c r="G16" s="49">
        <v>5.34</v>
      </c>
      <c r="H16" s="49">
        <v>5.2949999999999999</v>
      </c>
      <c r="I16" s="49">
        <v>5.41</v>
      </c>
      <c r="J16" s="49">
        <v>5.3550000000000004</v>
      </c>
      <c r="K16" s="49">
        <v>5.48</v>
      </c>
      <c r="L16" s="49">
        <v>5.5149999999999997</v>
      </c>
      <c r="M16" s="50">
        <v>5.55</v>
      </c>
    </row>
    <row r="17" spans="1:13" ht="15.75">
      <c r="A17" s="242"/>
      <c r="B17" s="43">
        <v>4.2</v>
      </c>
      <c r="C17" s="48">
        <v>5.3</v>
      </c>
      <c r="D17" s="49">
        <v>5.3324999999999996</v>
      </c>
      <c r="E17" s="49">
        <v>5.3</v>
      </c>
      <c r="F17" s="49">
        <v>5.3324999999999996</v>
      </c>
      <c r="G17" s="49">
        <v>5.4</v>
      </c>
      <c r="H17" s="49">
        <v>5.3925000000000001</v>
      </c>
      <c r="I17" s="49">
        <v>5.5</v>
      </c>
      <c r="J17" s="49">
        <v>5.4574999999999996</v>
      </c>
      <c r="K17" s="49">
        <v>5.5</v>
      </c>
      <c r="L17" s="49">
        <v>5.6124999999999998</v>
      </c>
      <c r="M17" s="50">
        <v>5.6</v>
      </c>
    </row>
    <row r="18" spans="1:13" ht="15.75">
      <c r="A18" s="242"/>
      <c r="B18" s="43">
        <v>4.3</v>
      </c>
      <c r="C18" s="48">
        <v>5.35</v>
      </c>
      <c r="D18" s="49">
        <v>5.43</v>
      </c>
      <c r="E18" s="49">
        <v>5.41</v>
      </c>
      <c r="F18" s="49">
        <v>5.43</v>
      </c>
      <c r="G18" s="49">
        <v>5.47</v>
      </c>
      <c r="H18" s="49">
        <v>5.49</v>
      </c>
      <c r="I18" s="49">
        <v>5.53</v>
      </c>
      <c r="J18" s="49">
        <v>5.56</v>
      </c>
      <c r="K18" s="49">
        <v>5.59</v>
      </c>
      <c r="L18" s="49">
        <v>5.71</v>
      </c>
      <c r="M18" s="50">
        <v>5.65</v>
      </c>
    </row>
    <row r="19" spans="1:13" ht="15.75">
      <c r="A19" s="242"/>
      <c r="B19" s="43">
        <v>4.4000000000000004</v>
      </c>
      <c r="C19" s="48">
        <v>5.4</v>
      </c>
      <c r="D19" s="49">
        <v>5.45</v>
      </c>
      <c r="E19" s="49">
        <v>5.5</v>
      </c>
      <c r="F19" s="49">
        <v>5.5274999999999999</v>
      </c>
      <c r="G19" s="49">
        <v>5.5</v>
      </c>
      <c r="H19" s="49">
        <v>5.5875000000000004</v>
      </c>
      <c r="I19" s="49">
        <v>5.6</v>
      </c>
      <c r="J19" s="49">
        <v>5.6275000000000004</v>
      </c>
      <c r="K19" s="49">
        <v>5.7</v>
      </c>
      <c r="L19" s="49">
        <v>5.8075000000000001</v>
      </c>
      <c r="M19" s="50">
        <v>5.7</v>
      </c>
    </row>
    <row r="20" spans="1:13" ht="15.75">
      <c r="A20" s="242"/>
      <c r="B20" s="43">
        <v>4.5</v>
      </c>
      <c r="C20" s="48">
        <v>5.45</v>
      </c>
      <c r="D20" s="49">
        <v>5.5</v>
      </c>
      <c r="E20" s="49">
        <v>5.52</v>
      </c>
      <c r="F20" s="49">
        <v>5.625</v>
      </c>
      <c r="G20" s="49">
        <v>5.59</v>
      </c>
      <c r="H20" s="49">
        <v>5.6849999999999996</v>
      </c>
      <c r="I20" s="49">
        <v>5.66</v>
      </c>
      <c r="J20" s="49">
        <v>5.6950000000000003</v>
      </c>
      <c r="K20" s="49">
        <v>5.73</v>
      </c>
      <c r="L20" s="49">
        <v>5.9050000000000002</v>
      </c>
      <c r="M20" s="50">
        <v>5.8</v>
      </c>
    </row>
    <row r="21" spans="1:13" ht="15.75">
      <c r="A21" s="242"/>
      <c r="B21" s="43">
        <v>4.5999999999999996</v>
      </c>
      <c r="C21" s="48">
        <v>5.5</v>
      </c>
      <c r="D21" s="49">
        <v>5.6</v>
      </c>
      <c r="E21" s="49">
        <v>5.6</v>
      </c>
      <c r="F21" s="49">
        <v>5.7225000000000001</v>
      </c>
      <c r="G21" s="49">
        <v>5.7</v>
      </c>
      <c r="H21" s="49">
        <v>5.7824999999999998</v>
      </c>
      <c r="I21" s="49">
        <v>5.7</v>
      </c>
      <c r="J21" s="49">
        <v>5.7625000000000002</v>
      </c>
      <c r="K21" s="49">
        <v>5.8</v>
      </c>
      <c r="L21" s="49">
        <v>6.0025000000000004</v>
      </c>
      <c r="M21" s="50">
        <v>5.9</v>
      </c>
    </row>
    <row r="22" spans="1:13" ht="15.75">
      <c r="A22" s="242"/>
      <c r="B22" s="43">
        <v>4.7</v>
      </c>
      <c r="C22" s="48">
        <v>5.55</v>
      </c>
      <c r="D22" s="49">
        <v>5.6</v>
      </c>
      <c r="E22" s="49">
        <v>5.63</v>
      </c>
      <c r="F22" s="49">
        <v>5.8</v>
      </c>
      <c r="G22" s="49">
        <v>5.8</v>
      </c>
      <c r="H22" s="49">
        <v>5.8</v>
      </c>
      <c r="I22" s="49">
        <v>5.9</v>
      </c>
      <c r="J22" s="49">
        <v>5.83</v>
      </c>
      <c r="K22" s="49">
        <v>5.87</v>
      </c>
      <c r="L22" s="49">
        <v>6.1</v>
      </c>
      <c r="M22" s="50">
        <v>5.95</v>
      </c>
    </row>
    <row r="23" spans="1:13" ht="15.75">
      <c r="A23" s="242"/>
      <c r="B23" s="43">
        <v>4.8</v>
      </c>
      <c r="C23" s="48">
        <v>5.6</v>
      </c>
      <c r="D23" s="49">
        <v>5.7</v>
      </c>
      <c r="E23" s="49">
        <v>5.7</v>
      </c>
      <c r="F23" s="49">
        <v>5.9175000000000004</v>
      </c>
      <c r="G23" s="49">
        <v>5.8</v>
      </c>
      <c r="H23" s="49">
        <v>5.87</v>
      </c>
      <c r="I23" s="49">
        <v>5.9</v>
      </c>
      <c r="J23" s="49">
        <v>5.8875000000000002</v>
      </c>
      <c r="K23" s="49">
        <v>5.9</v>
      </c>
      <c r="L23" s="49">
        <v>6.1</v>
      </c>
      <c r="M23" s="50">
        <v>6</v>
      </c>
    </row>
    <row r="24" spans="1:13" ht="15.75">
      <c r="A24" s="242"/>
      <c r="B24" s="43">
        <v>4.9000000000000004</v>
      </c>
      <c r="C24" s="48">
        <v>5.7</v>
      </c>
      <c r="D24" s="49">
        <v>5.7</v>
      </c>
      <c r="E24" s="49">
        <v>5.77</v>
      </c>
      <c r="F24" s="49">
        <v>6.0149999999999997</v>
      </c>
      <c r="G24" s="49">
        <v>5.84</v>
      </c>
      <c r="H24" s="49">
        <v>5.87</v>
      </c>
      <c r="I24" s="49">
        <v>5.9</v>
      </c>
      <c r="J24" s="49">
        <v>5.9450000000000003</v>
      </c>
      <c r="K24" s="49">
        <v>5.98</v>
      </c>
      <c r="L24" s="49">
        <v>6.1</v>
      </c>
      <c r="M24" s="50">
        <v>6.05</v>
      </c>
    </row>
    <row r="25" spans="1:13" ht="15.75">
      <c r="A25" s="242"/>
      <c r="B25" s="43">
        <v>5</v>
      </c>
      <c r="C25" s="48">
        <v>5.8</v>
      </c>
      <c r="D25" s="49">
        <v>5.8</v>
      </c>
      <c r="E25" s="49">
        <v>5.8</v>
      </c>
      <c r="F25" s="49">
        <v>5.85</v>
      </c>
      <c r="G25" s="49">
        <v>5.9</v>
      </c>
      <c r="H25" s="49">
        <v>5.8724999999999996</v>
      </c>
      <c r="I25" s="49">
        <v>6</v>
      </c>
      <c r="J25" s="49">
        <v>6.02</v>
      </c>
      <c r="K25" s="49">
        <v>6.1</v>
      </c>
      <c r="L25" s="49">
        <v>6.1</v>
      </c>
      <c r="M25" s="50">
        <v>6.1</v>
      </c>
    </row>
    <row r="26" spans="1:13" ht="15.75">
      <c r="A26" s="242"/>
      <c r="B26" s="43">
        <v>5.0999999999999996</v>
      </c>
      <c r="C26" s="48">
        <v>5.85</v>
      </c>
      <c r="D26" s="49">
        <v>5.85</v>
      </c>
      <c r="E26" s="49">
        <v>5.92</v>
      </c>
      <c r="F26" s="49">
        <v>5.92</v>
      </c>
      <c r="G26" s="49">
        <v>5.95</v>
      </c>
      <c r="H26" s="49">
        <v>6</v>
      </c>
      <c r="I26" s="49">
        <v>6.06</v>
      </c>
      <c r="J26" s="49">
        <v>6.0949999999999998</v>
      </c>
      <c r="K26" s="49">
        <v>6.13</v>
      </c>
      <c r="L26" s="49">
        <v>6.2</v>
      </c>
      <c r="M26" s="50">
        <v>6.2</v>
      </c>
    </row>
    <row r="27" spans="1:13" ht="15.75">
      <c r="A27" s="242"/>
      <c r="B27" s="44">
        <v>5.2</v>
      </c>
      <c r="C27" s="51">
        <v>5.9</v>
      </c>
      <c r="D27" s="52">
        <v>5.94</v>
      </c>
      <c r="E27" s="52">
        <v>6</v>
      </c>
      <c r="F27" s="52">
        <v>6.02</v>
      </c>
      <c r="G27" s="52">
        <v>6</v>
      </c>
      <c r="H27" s="52">
        <v>6.1</v>
      </c>
      <c r="I27" s="52">
        <v>6.1</v>
      </c>
      <c r="J27" s="52">
        <v>6.18</v>
      </c>
      <c r="K27" s="52">
        <v>6.2</v>
      </c>
      <c r="L27" s="52">
        <v>6.26</v>
      </c>
      <c r="M27" s="53">
        <v>6.3</v>
      </c>
    </row>
  </sheetData>
  <mergeCells count="3">
    <mergeCell ref="B1:M1"/>
    <mergeCell ref="A5:A27"/>
    <mergeCell ref="C3:M3"/>
  </mergeCells>
  <phoneticPr fontId="7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AB71"/>
  <sheetViews>
    <sheetView topLeftCell="A10" zoomScale="70" zoomScaleNormal="70" workbookViewId="0">
      <selection activeCell="M13" sqref="M13"/>
    </sheetView>
  </sheetViews>
  <sheetFormatPr defaultColWidth="11.42578125" defaultRowHeight="12.75"/>
  <cols>
    <col min="1" max="1" width="6.28515625" customWidth="1"/>
    <col min="2" max="2" width="25.140625" customWidth="1"/>
    <col min="3" max="3" width="14.42578125" customWidth="1"/>
    <col min="4" max="4" width="11.42578125" customWidth="1"/>
    <col min="5" max="5" width="6.85546875" customWidth="1"/>
    <col min="6" max="6" width="24.85546875" customWidth="1"/>
    <col min="7" max="7" width="18.42578125" customWidth="1"/>
    <col min="8" max="8" width="9.42578125" customWidth="1"/>
    <col min="9" max="9" width="5" customWidth="1"/>
  </cols>
  <sheetData>
    <row r="1" spans="1:28" ht="8.25" customHeight="1">
      <c r="A1" s="200"/>
      <c r="B1" s="200"/>
      <c r="C1" s="200"/>
      <c r="D1" s="200"/>
      <c r="E1" s="200"/>
      <c r="F1" s="200"/>
      <c r="G1" s="200"/>
      <c r="H1" s="200"/>
      <c r="I1" s="200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</row>
    <row r="2" spans="1:28">
      <c r="A2" s="200"/>
      <c r="B2" s="200"/>
      <c r="C2" s="200"/>
      <c r="D2" s="200"/>
      <c r="E2" s="200"/>
      <c r="F2" s="200"/>
      <c r="G2" s="200"/>
      <c r="H2" s="200"/>
      <c r="I2" s="200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</row>
    <row r="3" spans="1:28" ht="12.75" customHeight="1">
      <c r="A3" s="200"/>
      <c r="B3" s="244" t="s">
        <v>179</v>
      </c>
      <c r="C3" s="244"/>
      <c r="D3" s="244"/>
      <c r="E3" s="244"/>
      <c r="F3" s="244"/>
      <c r="G3" s="244"/>
      <c r="H3" s="244"/>
      <c r="I3" s="200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</row>
    <row r="4" spans="1:28" ht="12.75" customHeight="1">
      <c r="A4" s="200"/>
      <c r="B4" s="244"/>
      <c r="C4" s="244"/>
      <c r="D4" s="244"/>
      <c r="E4" s="244"/>
      <c r="F4" s="244"/>
      <c r="G4" s="244"/>
      <c r="H4" s="244"/>
      <c r="I4" s="200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</row>
    <row r="5" spans="1:28" ht="12.75" customHeight="1">
      <c r="A5" s="200"/>
      <c r="B5" s="244"/>
      <c r="C5" s="244"/>
      <c r="D5" s="244"/>
      <c r="E5" s="244"/>
      <c r="F5" s="244"/>
      <c r="G5" s="244"/>
      <c r="H5" s="244"/>
      <c r="I5" s="200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</row>
    <row r="6" spans="1:28">
      <c r="A6" s="200"/>
      <c r="B6" s="200"/>
      <c r="C6" s="200"/>
      <c r="D6" s="200"/>
      <c r="E6" s="200"/>
      <c r="F6" s="200"/>
      <c r="G6" s="200"/>
      <c r="H6" s="200"/>
      <c r="I6" s="200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</row>
    <row r="7" spans="1:28">
      <c r="A7" s="200"/>
      <c r="B7" s="200"/>
      <c r="C7" s="200"/>
      <c r="D7" s="200"/>
      <c r="E7" s="200"/>
      <c r="F7" s="200"/>
      <c r="G7" s="200"/>
      <c r="H7" s="200"/>
      <c r="I7" s="200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</row>
    <row r="8" spans="1:28">
      <c r="A8" s="200"/>
      <c r="B8" s="200"/>
      <c r="C8" s="200"/>
      <c r="D8" s="200"/>
      <c r="E8" s="200"/>
      <c r="F8" s="200"/>
      <c r="G8" s="200"/>
      <c r="H8" s="200"/>
      <c r="I8" s="200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</row>
    <row r="9" spans="1:28">
      <c r="A9" s="200"/>
      <c r="B9" s="200"/>
      <c r="C9" s="200"/>
      <c r="D9" s="200"/>
      <c r="E9" s="200"/>
      <c r="F9" s="201" t="s">
        <v>143</v>
      </c>
      <c r="G9" s="202">
        <f ca="1">TODAY()</f>
        <v>45184</v>
      </c>
      <c r="H9" s="200"/>
      <c r="I9" s="200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</row>
    <row r="10" spans="1:28">
      <c r="A10" s="200"/>
      <c r="B10" s="200"/>
      <c r="C10" s="200"/>
      <c r="D10" s="200"/>
      <c r="E10" s="200"/>
      <c r="F10" s="201" t="s">
        <v>158</v>
      </c>
      <c r="G10" s="203"/>
      <c r="H10" s="200"/>
      <c r="I10" s="200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</row>
    <row r="11" spans="1:28">
      <c r="A11" s="200"/>
      <c r="B11" s="200"/>
      <c r="C11" s="200"/>
      <c r="D11" s="200"/>
      <c r="E11" s="200"/>
      <c r="F11" s="201" t="s">
        <v>159</v>
      </c>
      <c r="G11" s="200"/>
      <c r="H11" s="200"/>
      <c r="I11" s="200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</row>
    <row r="12" spans="1:28">
      <c r="A12" s="200"/>
      <c r="B12" s="200"/>
      <c r="C12" s="200"/>
      <c r="D12" s="200"/>
      <c r="E12" s="200"/>
      <c r="F12" s="201" t="s">
        <v>160</v>
      </c>
      <c r="G12" s="200" t="s">
        <v>180</v>
      </c>
      <c r="H12" s="200"/>
      <c r="I12" s="200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</row>
    <row r="13" spans="1:28" ht="25.5" customHeight="1">
      <c r="A13" s="200"/>
      <c r="B13" s="201" t="s">
        <v>162</v>
      </c>
      <c r="C13" s="200"/>
      <c r="D13" s="200"/>
      <c r="E13" s="200"/>
      <c r="F13" s="250" t="s">
        <v>145</v>
      </c>
      <c r="G13" s="250"/>
      <c r="H13" s="200"/>
      <c r="I13" s="200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</row>
    <row r="14" spans="1:28">
      <c r="A14" s="200"/>
      <c r="B14" s="200"/>
      <c r="C14" s="200"/>
      <c r="D14" s="200"/>
      <c r="E14" s="200"/>
      <c r="F14" s="200"/>
      <c r="G14" s="200"/>
      <c r="H14" s="200"/>
      <c r="I14" s="200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</row>
    <row r="15" spans="1:28">
      <c r="A15" s="200"/>
      <c r="B15" s="204" t="str">
        <f>'Cow req'!A4</f>
        <v>Live weight (kg)</v>
      </c>
      <c r="C15" s="205">
        <f>'Cow req'!C4</f>
        <v>600</v>
      </c>
      <c r="D15" s="200"/>
      <c r="E15" s="200"/>
      <c r="F15" s="200"/>
      <c r="G15" s="204" t="s">
        <v>144</v>
      </c>
      <c r="H15" s="204" t="s">
        <v>147</v>
      </c>
      <c r="I15" s="200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</row>
    <row r="16" spans="1:28" ht="25.5">
      <c r="A16" s="200"/>
      <c r="B16" s="204" t="str">
        <f>'Cow req'!A5</f>
        <v>Pregnancy (mth)</v>
      </c>
      <c r="C16" s="204">
        <f>'Cow req'!C5</f>
        <v>0</v>
      </c>
      <c r="D16" s="200"/>
      <c r="E16" s="200"/>
      <c r="F16" s="204" t="s">
        <v>148</v>
      </c>
      <c r="G16" s="204">
        <f>'Cow req'!D10</f>
        <v>225.4</v>
      </c>
      <c r="H16" s="204">
        <f>'Ration form'!F32</f>
        <v>318.33217200000001</v>
      </c>
      <c r="I16" s="200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</row>
    <row r="17" spans="1:26">
      <c r="A17" s="200"/>
      <c r="B17" s="204" t="str">
        <f>"Milk "&amp;'Cow req'!B6</f>
        <v>Milk Volume (kg)</v>
      </c>
      <c r="C17" s="204">
        <f>'Cow req'!C6</f>
        <v>32</v>
      </c>
      <c r="D17" s="200"/>
      <c r="E17" s="200"/>
      <c r="F17" s="204" t="s">
        <v>149</v>
      </c>
      <c r="G17" s="206">
        <f>'Ration form'!G34/100</f>
        <v>3.5700000000000007</v>
      </c>
      <c r="H17" s="206">
        <f>'Ration form'!G32</f>
        <v>6.0846219999999995</v>
      </c>
      <c r="I17" s="200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</row>
    <row r="18" spans="1:26">
      <c r="A18" s="200"/>
      <c r="B18" s="207" t="str">
        <f>'Cow req'!B7</f>
        <v>Milk fat (%)</v>
      </c>
      <c r="C18" s="204">
        <f>'Cow req'!C7</f>
        <v>3.6</v>
      </c>
      <c r="D18" s="200"/>
      <c r="E18" s="200"/>
      <c r="F18" s="204" t="s">
        <v>150</v>
      </c>
      <c r="G18" s="206">
        <f>'Ration form'!I34</f>
        <v>168.00000000000003</v>
      </c>
      <c r="H18" s="206">
        <f>'Ration form'!I32</f>
        <v>96.854720000000015</v>
      </c>
      <c r="I18" s="200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</row>
    <row r="19" spans="1:26">
      <c r="A19" s="200"/>
      <c r="B19" s="207" t="str">
        <f>'Cow req'!B8</f>
        <v>Milk protein (%)</v>
      </c>
      <c r="C19" s="204">
        <f>'Cow req'!C8</f>
        <v>3.1</v>
      </c>
      <c r="D19" s="200"/>
      <c r="E19" s="200"/>
      <c r="F19" s="204" t="s">
        <v>151</v>
      </c>
      <c r="G19" s="206">
        <f>'Ration form'!J34</f>
        <v>84.000000000000014</v>
      </c>
      <c r="H19" s="206">
        <f>'Ration form'!J32</f>
        <v>209.01738000000003</v>
      </c>
      <c r="I19" s="200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</row>
    <row r="20" spans="1:26" ht="25.5">
      <c r="A20" s="200"/>
      <c r="B20" s="204" t="str">
        <f>'Cow req'!B9</f>
        <v>Live weight gain/loss (kg/d)</v>
      </c>
      <c r="C20" s="204">
        <f>'Cow req'!C9</f>
        <v>0</v>
      </c>
      <c r="D20" s="200"/>
      <c r="E20" s="200"/>
      <c r="F20" s="204" t="s">
        <v>152</v>
      </c>
      <c r="G20" s="208">
        <f>'Ration form'!H34</f>
        <v>0.3</v>
      </c>
      <c r="H20" s="209">
        <f>'Ration form'!H33</f>
        <v>0.40337989716521816</v>
      </c>
      <c r="I20" s="200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224"/>
      <c r="Z20" s="224"/>
    </row>
    <row r="21" spans="1:26">
      <c r="A21" s="200"/>
      <c r="B21" s="204" t="str">
        <f>'Cow req'!A13</f>
        <v>Stage of lactation</v>
      </c>
      <c r="C21" s="210" t="str">
        <f>'Cow req'!B13</f>
        <v>Early lactation</v>
      </c>
      <c r="D21" s="200"/>
      <c r="E21" s="200"/>
      <c r="F21" s="200"/>
      <c r="G21" s="200"/>
      <c r="H21" s="200"/>
      <c r="I21" s="200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</row>
    <row r="22" spans="1:26">
      <c r="A22" s="200"/>
      <c r="B22" s="200"/>
      <c r="C22" s="200"/>
      <c r="D22" s="200"/>
      <c r="E22" s="200"/>
      <c r="F22" s="200"/>
      <c r="G22" s="204" t="s">
        <v>153</v>
      </c>
      <c r="H22" s="204" t="s">
        <v>154</v>
      </c>
      <c r="I22" s="200"/>
      <c r="J22" s="224"/>
      <c r="K22" s="224"/>
      <c r="L22" s="224"/>
      <c r="M22" s="224"/>
      <c r="N22" s="224"/>
      <c r="O22" s="224"/>
      <c r="P22" s="224"/>
      <c r="Q22" s="224"/>
      <c r="R22" s="224"/>
      <c r="S22" s="224"/>
      <c r="T22" s="224"/>
      <c r="U22" s="224"/>
      <c r="V22" s="224"/>
      <c r="W22" s="224"/>
      <c r="X22" s="224"/>
      <c r="Y22" s="224"/>
      <c r="Z22" s="224"/>
    </row>
    <row r="23" spans="1:26">
      <c r="A23" s="200"/>
      <c r="B23" s="200"/>
      <c r="C23" s="200"/>
      <c r="D23" s="200"/>
      <c r="E23" s="200"/>
      <c r="F23" s="204" t="s">
        <v>156</v>
      </c>
      <c r="G23" s="204">
        <f>'Ration form'!H36</f>
        <v>21.000000000000004</v>
      </c>
      <c r="H23" s="206">
        <f>'Ration form'!E32</f>
        <v>35.163200000000003</v>
      </c>
      <c r="I23" s="200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Y23" s="224"/>
      <c r="Z23" s="224"/>
    </row>
    <row r="24" spans="1:26">
      <c r="A24" s="200"/>
      <c r="B24" s="200"/>
      <c r="C24" s="200"/>
      <c r="D24" s="200"/>
      <c r="E24" s="200"/>
      <c r="F24" s="204" t="s">
        <v>155</v>
      </c>
      <c r="G24" s="208">
        <f>'Ration form'!K34</f>
        <v>0.7</v>
      </c>
      <c r="H24" s="209">
        <f>'Ration form'!K33</f>
        <v>0.58528654957455517</v>
      </c>
      <c r="I24" s="200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</row>
    <row r="25" spans="1:26">
      <c r="A25" s="200"/>
      <c r="B25" s="201" t="s">
        <v>146</v>
      </c>
      <c r="C25" s="200"/>
      <c r="D25" s="200"/>
      <c r="E25" s="200"/>
      <c r="F25" s="200"/>
      <c r="G25" s="200"/>
      <c r="H25" s="200"/>
      <c r="I25" s="200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Y25" s="224"/>
      <c r="Z25" s="224"/>
    </row>
    <row r="26" spans="1:26">
      <c r="A26" s="200"/>
      <c r="B26" s="200"/>
      <c r="C26" s="200"/>
      <c r="D26" s="200"/>
      <c r="E26" s="200"/>
      <c r="F26" s="200"/>
      <c r="G26" s="200"/>
      <c r="H26" s="200"/>
      <c r="I26" s="200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  <c r="Y26" s="224"/>
      <c r="Z26" s="224"/>
    </row>
    <row r="27" spans="1:26" ht="38.25">
      <c r="A27" s="200"/>
      <c r="B27" s="247" t="str">
        <f>'Ration form'!B3</f>
        <v>Ration ingredients</v>
      </c>
      <c r="C27" s="247"/>
      <c r="D27" s="211" t="str">
        <f>'Ration form'!D3</f>
        <v>Fresh feed intake (kg/d)</v>
      </c>
      <c r="E27" s="200"/>
      <c r="F27" s="250" t="str">
        <f>MIFC!A1</f>
        <v>Milk income less feed cost (MIFC)</v>
      </c>
      <c r="G27" s="250"/>
      <c r="H27" s="250"/>
      <c r="I27" s="200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</row>
    <row r="28" spans="1:26">
      <c r="A28" s="200">
        <v>1</v>
      </c>
      <c r="B28" s="247" t="str">
        <f>IF('Ration form'!B4="&lt;Empty&gt;","",'Ration form'!B4)</f>
        <v>Chana churi/ soya chilka</v>
      </c>
      <c r="C28" s="247"/>
      <c r="D28" s="204">
        <f>IF('Ration form'!B4="&lt;Empty&gt;","",'Ration form'!D4)</f>
        <v>0</v>
      </c>
      <c r="E28" s="200"/>
      <c r="F28" s="200"/>
      <c r="G28" s="200"/>
      <c r="H28" s="200"/>
      <c r="I28" s="200"/>
      <c r="J28" s="224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</row>
    <row r="29" spans="1:26">
      <c r="A29" s="200">
        <v>2</v>
      </c>
      <c r="B29" s="247" t="str">
        <f>IF('Ration form'!B5="&lt;Empty&gt;","",'Ration form'!B5)</f>
        <v>Green fodder(maize)</v>
      </c>
      <c r="C29" s="247"/>
      <c r="D29" s="204">
        <f>IF('Ration form'!B5="&lt;Empty&gt;","",'Ration form'!D5)</f>
        <v>20</v>
      </c>
      <c r="E29" s="200"/>
      <c r="F29" s="245" t="s">
        <v>194</v>
      </c>
      <c r="G29" s="246"/>
      <c r="H29" s="204">
        <f>MIFC!D12</f>
        <v>40</v>
      </c>
      <c r="I29" s="200"/>
      <c r="J29" s="224"/>
      <c r="K29" s="224"/>
      <c r="L29" s="224"/>
      <c r="M29" s="224"/>
      <c r="N29" s="224"/>
      <c r="O29" s="224"/>
      <c r="P29" s="224"/>
      <c r="Q29" s="224"/>
      <c r="R29" s="224"/>
      <c r="S29" s="224"/>
      <c r="T29" s="224"/>
      <c r="U29" s="224"/>
      <c r="V29" s="224"/>
      <c r="W29" s="224"/>
      <c r="X29" s="224"/>
      <c r="Y29" s="224"/>
      <c r="Z29" s="224"/>
    </row>
    <row r="30" spans="1:26">
      <c r="A30" s="200">
        <v>3</v>
      </c>
      <c r="B30" s="247" t="str">
        <f>IF('Ration form'!B6="&lt;Empty&gt;","",'Ration form'!B6)</f>
        <v>Silage maize</v>
      </c>
      <c r="C30" s="247"/>
      <c r="D30" s="204">
        <f>IF('Ration form'!B6="&lt;Empty&gt;","",'Ration form'!D6)</f>
        <v>14</v>
      </c>
      <c r="E30" s="200"/>
      <c r="F30" s="245" t="s">
        <v>195</v>
      </c>
      <c r="G30" s="246"/>
      <c r="H30" s="204">
        <f>MIFC!E12</f>
        <v>1280</v>
      </c>
      <c r="I30" s="200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</row>
    <row r="31" spans="1:26">
      <c r="A31" s="200">
        <v>4</v>
      </c>
      <c r="B31" s="247" t="str">
        <f>IF('Ration form'!B21="&lt;Empty&gt;","",'Ration form'!B21)</f>
        <v>Mung churi</v>
      </c>
      <c r="C31" s="247"/>
      <c r="D31" s="204">
        <f>IF('Ration form'!B21="&lt;Empty&gt;","",'Ration form'!D21)</f>
        <v>1.92</v>
      </c>
      <c r="E31" s="200"/>
      <c r="F31" s="245" t="s">
        <v>196</v>
      </c>
      <c r="G31" s="246"/>
      <c r="H31" s="204">
        <f>MIFC!E14</f>
        <v>908.22</v>
      </c>
      <c r="I31" s="200"/>
      <c r="J31" s="224"/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  <c r="W31" s="224"/>
      <c r="X31" s="224"/>
      <c r="Y31" s="224"/>
      <c r="Z31" s="224"/>
    </row>
    <row r="32" spans="1:26">
      <c r="A32" s="200">
        <v>5</v>
      </c>
      <c r="B32" s="247" t="str">
        <f>IF('Ration form'!B8="&lt;Empty&gt;","",'Ration form'!B8)</f>
        <v>Cotton seed</v>
      </c>
      <c r="C32" s="247"/>
      <c r="D32" s="204">
        <f>IF('Ration form'!B8="&lt;Empty&gt;","",'Ration form'!D8)</f>
        <v>0</v>
      </c>
      <c r="E32" s="200"/>
      <c r="F32" s="245" t="s">
        <v>197</v>
      </c>
      <c r="G32" s="246"/>
      <c r="H32" s="204">
        <f>MIFC!E16</f>
        <v>371.78</v>
      </c>
      <c r="I32" s="200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</row>
    <row r="33" spans="1:26">
      <c r="A33" s="200">
        <v>6</v>
      </c>
      <c r="B33" s="247" t="str">
        <f>IF('Ration form'!B9="&lt;Empty&gt;","",'Ration form'!B9)</f>
        <v>Musturd  cake</v>
      </c>
      <c r="C33" s="247"/>
      <c r="D33" s="204">
        <f>IF('Ration form'!B9="&lt;Empty&gt;","",'Ration form'!D9)</f>
        <v>0</v>
      </c>
      <c r="E33" s="200"/>
      <c r="F33" s="200"/>
      <c r="G33" s="200"/>
      <c r="H33" s="200"/>
      <c r="I33" s="200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</row>
    <row r="34" spans="1:26">
      <c r="A34" s="200">
        <v>7</v>
      </c>
      <c r="B34" s="247" t="str">
        <f>IF('Ration form'!B10="&lt;Empty&gt;","",'Ration form'!B10)</f>
        <v>Rice polish</v>
      </c>
      <c r="C34" s="247"/>
      <c r="D34" s="204">
        <f>IF('Ration form'!B10="&lt;Empty&gt;","",'Ration form'!D10)</f>
        <v>0</v>
      </c>
      <c r="E34" s="200"/>
      <c r="F34" s="248" t="s">
        <v>161</v>
      </c>
      <c r="G34" s="248"/>
      <c r="H34" s="248"/>
      <c r="I34" s="200"/>
      <c r="J34" s="224"/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</row>
    <row r="35" spans="1:26" ht="12.75" customHeight="1">
      <c r="A35" s="200">
        <v>8</v>
      </c>
      <c r="B35" s="247" t="str">
        <f>IF('Ration form'!B11="&lt;Empty&gt;","",'Ration form'!B11)</f>
        <v>Dorb</v>
      </c>
      <c r="C35" s="247"/>
      <c r="D35" s="204">
        <f>IF('Ration form'!B11="&lt;Empty&gt;","",'Ration form'!D11)</f>
        <v>0</v>
      </c>
      <c r="E35" s="200"/>
      <c r="F35" s="249"/>
      <c r="G35" s="249"/>
      <c r="H35" s="249"/>
      <c r="I35" s="200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</row>
    <row r="36" spans="1:26">
      <c r="A36" s="200">
        <v>9</v>
      </c>
      <c r="B36" s="247" t="str">
        <f>IF('Ration form'!B12="&lt;Empty&gt;","",'Ration form'!B12)</f>
        <v>Soya doc</v>
      </c>
      <c r="C36" s="247"/>
      <c r="D36" s="204">
        <f>IF('Ration form'!B12="&lt;Empty&gt;","",'Ration form'!D12)</f>
        <v>1.42</v>
      </c>
      <c r="E36" s="200"/>
      <c r="F36" s="212"/>
      <c r="G36" s="213"/>
      <c r="H36" s="214"/>
      <c r="I36" s="200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</row>
    <row r="37" spans="1:26">
      <c r="A37" s="200">
        <v>10</v>
      </c>
      <c r="B37" s="247" t="str">
        <f>IF('Ration form'!B13="&lt;Empty&gt;","",'Ration form'!B13)</f>
        <v>Musturd doc</v>
      </c>
      <c r="C37" s="247"/>
      <c r="D37" s="204">
        <f>IF('Ration form'!B13="&lt;Empty&gt;","",'Ration form'!D13)</f>
        <v>0</v>
      </c>
      <c r="E37" s="200"/>
      <c r="F37" s="215"/>
      <c r="G37" s="216"/>
      <c r="H37" s="217"/>
      <c r="I37" s="200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</row>
    <row r="38" spans="1:26">
      <c r="A38" s="200">
        <v>11</v>
      </c>
      <c r="B38" s="247" t="str">
        <f>IF('Ration form'!B14="&lt;Empty&gt;","",'Ration form'!B14)</f>
        <v>wheat</v>
      </c>
      <c r="C38" s="247"/>
      <c r="D38" s="204">
        <f>IF('Ration form'!B14="&lt;Empty&gt;","",'Ration form'!D14)</f>
        <v>0</v>
      </c>
      <c r="E38" s="200"/>
      <c r="F38" s="215"/>
      <c r="G38" s="216"/>
      <c r="H38" s="217"/>
      <c r="I38" s="200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</row>
    <row r="39" spans="1:26">
      <c r="A39" s="200">
        <v>12</v>
      </c>
      <c r="B39" s="247" t="str">
        <f>IF('Ration form'!B15="&lt;Empty&gt;","",'Ration form'!B15)</f>
        <v>Guar korma</v>
      </c>
      <c r="C39" s="247"/>
      <c r="D39" s="204">
        <f>IF('Ration form'!B15="&lt;Empty&gt;","",'Ration form'!D15)</f>
        <v>0</v>
      </c>
      <c r="E39" s="200"/>
      <c r="F39" s="218"/>
      <c r="G39" s="219"/>
      <c r="H39" s="220"/>
      <c r="I39" s="200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</row>
    <row r="40" spans="1:26">
      <c r="A40" s="200">
        <v>13</v>
      </c>
      <c r="B40" s="247" t="str">
        <f>IF('Ration form'!B16="&lt;Empty&gt;","",'Ration form'!B16)</f>
        <v>Maize grain</v>
      </c>
      <c r="C40" s="247"/>
      <c r="D40" s="204">
        <f>IF('Ration form'!B16="&lt;Empty&gt;","",'Ration form'!D16)</f>
        <v>4.32</v>
      </c>
      <c r="E40" s="200"/>
      <c r="F40" s="200"/>
      <c r="G40" s="200"/>
      <c r="H40" s="200"/>
      <c r="I40" s="200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  <c r="W40" s="224"/>
      <c r="X40" s="224"/>
      <c r="Y40" s="224"/>
      <c r="Z40" s="224"/>
    </row>
    <row r="41" spans="1:26">
      <c r="A41" s="200">
        <v>14</v>
      </c>
      <c r="B41" s="247" t="str">
        <f>IF('Ration form'!B17="&lt;Empty&gt;","",'Ration form'!B17)</f>
        <v>cattle feed</v>
      </c>
      <c r="C41" s="247"/>
      <c r="D41" s="204">
        <f>IF('Ration form'!B17="&lt;Empty&gt;","",'Ration form'!D17)</f>
        <v>0</v>
      </c>
      <c r="E41" s="221"/>
      <c r="F41" s="221"/>
      <c r="G41" s="221"/>
      <c r="H41" s="221"/>
      <c r="I41" s="221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</row>
    <row r="42" spans="1:26">
      <c r="A42" s="200">
        <v>15</v>
      </c>
      <c r="B42" s="247" t="str">
        <f>IF('Ration form'!B18="&lt;Empty&gt;","",'Ration form'!B18)</f>
        <v>Wheat bran</v>
      </c>
      <c r="C42" s="247"/>
      <c r="D42" s="204">
        <f>IF('Ration form'!B18="&lt;Empty&gt;","",'Ration form'!D18)</f>
        <v>2.8</v>
      </c>
      <c r="E42" s="221"/>
      <c r="F42" s="221"/>
      <c r="G42" s="221"/>
      <c r="H42" s="221"/>
      <c r="I42" s="221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</row>
    <row r="43" spans="1:26">
      <c r="A43" s="200">
        <v>16</v>
      </c>
      <c r="B43" s="247" t="str">
        <f>IF('Ration form'!B19="&lt;Empty&gt;","",'Ration form'!B19)</f>
        <v>Wheat straw</v>
      </c>
      <c r="C43" s="247"/>
      <c r="D43" s="204">
        <f>IF('Ration form'!B19="&lt;Empty&gt;","",'Ration form'!D19)</f>
        <v>4</v>
      </c>
      <c r="E43" s="221"/>
      <c r="F43" s="221"/>
      <c r="G43" s="221"/>
      <c r="H43" s="221"/>
      <c r="I43" s="221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</row>
    <row r="44" spans="1:26">
      <c r="A44" s="200">
        <v>17</v>
      </c>
      <c r="B44" s="247" t="str">
        <f>IF('Ration form'!B20="&lt;Empty&gt;","",'Ration form'!B20)</f>
        <v>Molasses</v>
      </c>
      <c r="C44" s="247"/>
      <c r="D44" s="204">
        <f>IF('Ration form'!B20="&lt;Empty&gt;","",'Ration form'!D20)</f>
        <v>0</v>
      </c>
      <c r="E44" s="221"/>
      <c r="F44" s="221"/>
      <c r="G44" s="221"/>
      <c r="H44" s="221"/>
      <c r="I44" s="221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</row>
    <row r="45" spans="1:26">
      <c r="A45" s="200">
        <v>18</v>
      </c>
      <c r="B45" s="247" t="str">
        <f>IF('Ration form'!B22="&lt;Empty&gt;","",'Ration form'!B22)</f>
        <v>Makka khal</v>
      </c>
      <c r="C45" s="247"/>
      <c r="D45" s="204">
        <f>IF('Ration form'!B22="&lt;Empty&gt;","",'Ration form'!D22)</f>
        <v>0</v>
      </c>
      <c r="E45" s="221"/>
      <c r="F45" s="221"/>
      <c r="G45" s="221"/>
      <c r="H45" s="221"/>
      <c r="I45" s="221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</row>
    <row r="46" spans="1:26">
      <c r="A46" s="200">
        <v>19</v>
      </c>
      <c r="B46" s="247" t="str">
        <f>IF('Ration form'!B23="&lt;Empty&gt;","",'Ration form'!B23)</f>
        <v>green fodder(barseem)</v>
      </c>
      <c r="C46" s="247"/>
      <c r="D46" s="204">
        <f>IF('Ration form'!B23="&lt;Empty&gt;","",'Ration form'!D23)</f>
        <v>0</v>
      </c>
      <c r="E46" s="221"/>
      <c r="F46" s="221"/>
      <c r="G46" s="221"/>
      <c r="H46" s="221"/>
      <c r="I46" s="221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</row>
    <row r="47" spans="1:26">
      <c r="A47" s="200">
        <v>20</v>
      </c>
      <c r="B47" s="247" t="str">
        <f>IF('Ration form'!B24="&lt;Empty&gt;","",'Ration form'!B24)</f>
        <v>ground nut cake</v>
      </c>
      <c r="C47" s="247"/>
      <c r="D47" s="204">
        <f>IF('Ration form'!B24="&lt;Empty&gt;","",'Ration form'!D24)</f>
        <v>1.42</v>
      </c>
      <c r="E47" s="221"/>
      <c r="F47" s="221"/>
      <c r="G47" s="221"/>
      <c r="H47" s="221"/>
      <c r="I47" s="221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</row>
    <row r="48" spans="1:26">
      <c r="A48" s="200">
        <v>21</v>
      </c>
      <c r="B48" s="247" t="str">
        <f>IF('Ration form'!B25="&lt;Empty&gt;","",'Ration form'!B25)</f>
        <v>Barley</v>
      </c>
      <c r="C48" s="247"/>
      <c r="D48" s="204">
        <f>IF('Ration form'!B25="&lt;Empty&gt;","",'Ration form'!D25)</f>
        <v>0</v>
      </c>
      <c r="E48" s="221"/>
      <c r="F48" s="221"/>
      <c r="G48" s="221"/>
      <c r="H48" s="221"/>
      <c r="I48" s="221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</row>
    <row r="49" spans="1:26">
      <c r="A49" s="200">
        <v>22</v>
      </c>
      <c r="B49" s="247" t="str">
        <f>IF('Ration form'!B26="&lt;Empty&gt;","",'Ration form'!B26)</f>
        <v>Rice broken</v>
      </c>
      <c r="C49" s="247"/>
      <c r="D49" s="204">
        <f>IF('Ration form'!B26="&lt;Empty&gt;","",'Ration form'!D26)</f>
        <v>0</v>
      </c>
      <c r="E49" s="221"/>
      <c r="F49" s="221"/>
      <c r="G49" s="221"/>
      <c r="H49" s="221"/>
      <c r="I49" s="221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</row>
    <row r="50" spans="1:26">
      <c r="A50" s="200">
        <v>23</v>
      </c>
      <c r="B50" s="247" t="str">
        <f>IF('Ration form'!B27="&lt;Empty&gt;","",'Ration form'!B27)</f>
        <v>Urea</v>
      </c>
      <c r="C50" s="247"/>
      <c r="D50" s="204">
        <f>IF('Ration form'!B27="&lt;Empty&gt;","",'Ration form'!D27)</f>
        <v>0</v>
      </c>
      <c r="E50" s="221"/>
      <c r="F50" s="221"/>
      <c r="G50" s="221"/>
      <c r="H50" s="221"/>
      <c r="I50" s="221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</row>
    <row r="51" spans="1:26">
      <c r="A51" s="200">
        <v>24</v>
      </c>
      <c r="B51" s="247" t="str">
        <f>IF('Ration form'!B28="&lt;Empty&gt;","",'Ration form'!B28)</f>
        <v>Mineral mixture</v>
      </c>
      <c r="C51" s="247"/>
      <c r="D51" s="204">
        <f>IF('Ration form'!B28="&lt;Empty&gt;","",'Ration form'!D28)</f>
        <v>0.1</v>
      </c>
      <c r="E51" s="221"/>
      <c r="F51" s="221"/>
      <c r="G51" s="221"/>
      <c r="H51" s="221"/>
      <c r="I51" s="221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</row>
    <row r="52" spans="1:26">
      <c r="A52" s="200">
        <v>25</v>
      </c>
      <c r="B52" s="247" t="str">
        <f>IF('Ration form'!B29="&lt;Empty&gt;","",'Ration form'!B29)</f>
        <v>Bypass fat</v>
      </c>
      <c r="C52" s="247"/>
      <c r="D52" s="204">
        <f>IF('Ration form'!B29="&lt;Empty&gt;","",'Ration form'!D29)</f>
        <v>0</v>
      </c>
      <c r="E52" s="221"/>
      <c r="F52" s="221"/>
      <c r="G52" s="221"/>
      <c r="H52" s="221"/>
      <c r="I52" s="221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</row>
    <row r="53" spans="1:26">
      <c r="A53" s="200">
        <v>26</v>
      </c>
      <c r="B53" s="247"/>
      <c r="C53" s="247"/>
      <c r="D53" s="204"/>
      <c r="E53" s="221"/>
      <c r="F53" s="221"/>
      <c r="G53" s="221"/>
      <c r="H53" s="221"/>
      <c r="I53" s="221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</row>
    <row r="54" spans="1:26">
      <c r="A54" s="200">
        <v>27</v>
      </c>
      <c r="B54" s="247"/>
      <c r="C54" s="247"/>
      <c r="D54" s="204"/>
      <c r="E54" s="221"/>
      <c r="F54" s="221"/>
      <c r="G54" s="221"/>
      <c r="H54" s="221"/>
      <c r="I54" s="221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</row>
    <row r="55" spans="1:26">
      <c r="A55" s="200">
        <v>28</v>
      </c>
      <c r="B55" s="247"/>
      <c r="C55" s="247"/>
      <c r="D55" s="204"/>
      <c r="E55" s="221"/>
      <c r="F55" s="221"/>
      <c r="G55" s="221"/>
      <c r="H55" s="221"/>
      <c r="I55" s="221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  <c r="W55" s="224"/>
      <c r="X55" s="224"/>
      <c r="Y55" s="224"/>
      <c r="Z55" s="224"/>
    </row>
    <row r="56" spans="1:26">
      <c r="A56" s="200"/>
      <c r="B56" s="247"/>
      <c r="C56" s="247"/>
      <c r="D56" s="222"/>
      <c r="E56" s="221"/>
      <c r="F56" s="221"/>
      <c r="G56" s="221"/>
      <c r="H56" s="221"/>
      <c r="I56" s="221"/>
      <c r="J56" s="224"/>
      <c r="K56" s="224"/>
      <c r="L56" s="224"/>
      <c r="M56" s="224"/>
      <c r="N56" s="224"/>
      <c r="O56" s="224"/>
      <c r="P56" s="224"/>
      <c r="Q56" s="224"/>
      <c r="R56" s="224"/>
      <c r="S56" s="224"/>
      <c r="T56" s="224"/>
      <c r="U56" s="224"/>
      <c r="V56" s="224"/>
      <c r="W56" s="224"/>
      <c r="X56" s="224"/>
      <c r="Y56" s="224"/>
      <c r="Z56" s="224"/>
    </row>
    <row r="57" spans="1:26">
      <c r="A57" s="221"/>
      <c r="B57" s="251" t="str">
        <f>IF('Ration form'!B32="&lt;Empty&gt;","",'Ration form'!B32)</f>
        <v xml:space="preserve">Total intake per head:  </v>
      </c>
      <c r="C57" s="252"/>
      <c r="D57" s="204">
        <f>IF('Ration form'!B32="&lt;Empty&gt;","",'Ration form'!D32)</f>
        <v>63.980000000000004</v>
      </c>
      <c r="E57" s="221"/>
      <c r="F57" s="221"/>
      <c r="G57" s="221"/>
      <c r="H57" s="221"/>
      <c r="I57" s="221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</row>
    <row r="58" spans="1:26">
      <c r="A58" s="221"/>
      <c r="B58" s="221"/>
      <c r="C58" s="221"/>
      <c r="D58" s="221"/>
      <c r="E58" s="221"/>
      <c r="F58" s="221"/>
      <c r="G58" s="221"/>
      <c r="H58" s="221"/>
      <c r="I58" s="221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</row>
    <row r="59" spans="1:26">
      <c r="A59" s="221"/>
      <c r="B59" s="221"/>
      <c r="C59" s="221"/>
      <c r="D59" s="221"/>
      <c r="E59" s="221"/>
      <c r="F59" s="221"/>
      <c r="G59" s="221"/>
      <c r="H59" s="221"/>
      <c r="I59" s="221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</row>
    <row r="60" spans="1:26">
      <c r="A60" s="224"/>
      <c r="B60" s="224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</row>
    <row r="61" spans="1:26">
      <c r="A61" s="224"/>
      <c r="B61" s="224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</row>
    <row r="62" spans="1:26">
      <c r="A62" s="224"/>
      <c r="B62" s="224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</row>
    <row r="63" spans="1:26">
      <c r="A63" s="224"/>
      <c r="B63" s="224"/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</row>
    <row r="64" spans="1:26">
      <c r="A64" s="224"/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224"/>
      <c r="T64" s="224"/>
    </row>
    <row r="65" spans="1:20">
      <c r="A65" s="224"/>
      <c r="B65" s="224"/>
      <c r="C65" s="224"/>
      <c r="D65" s="224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  <c r="R65" s="224"/>
      <c r="S65" s="224"/>
      <c r="T65" s="224"/>
    </row>
    <row r="66" spans="1:20">
      <c r="A66" s="224"/>
      <c r="B66" s="224"/>
      <c r="C66" s="224"/>
      <c r="D66" s="224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  <c r="R66" s="224"/>
      <c r="S66" s="224"/>
      <c r="T66" s="224"/>
    </row>
    <row r="67" spans="1:20">
      <c r="A67" s="224"/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  <c r="R67" s="224"/>
      <c r="S67" s="224"/>
      <c r="T67" s="224"/>
    </row>
    <row r="68" spans="1:20">
      <c r="A68" s="224"/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  <c r="R68" s="224"/>
      <c r="S68" s="224"/>
      <c r="T68" s="224"/>
    </row>
    <row r="69" spans="1:20">
      <c r="A69" s="224"/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</row>
    <row r="70" spans="1:20">
      <c r="A70" s="224"/>
      <c r="B70" s="224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</row>
    <row r="71" spans="1:20">
      <c r="A71" s="224"/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  <c r="R71" s="224"/>
      <c r="S71" s="224"/>
      <c r="T71" s="224"/>
    </row>
  </sheetData>
  <mergeCells count="39">
    <mergeCell ref="F27:H27"/>
    <mergeCell ref="B38:C38"/>
    <mergeCell ref="B39:C39"/>
    <mergeCell ref="B40:C40"/>
    <mergeCell ref="B52:C52"/>
    <mergeCell ref="B36:C36"/>
    <mergeCell ref="B37:C37"/>
    <mergeCell ref="B41:C41"/>
    <mergeCell ref="B42:C42"/>
    <mergeCell ref="B57:C57"/>
    <mergeCell ref="B56:C56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3:C53"/>
    <mergeCell ref="B54:C54"/>
    <mergeCell ref="B55:C55"/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  <mergeCell ref="F13:G13"/>
  </mergeCells>
  <pageMargins left="0.7" right="0.7" top="0.75" bottom="0.75" header="0.3" footer="0.3"/>
  <pageSetup scale="7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3"/>
  <sheetViews>
    <sheetView workbookViewId="0">
      <selection activeCell="A3" sqref="A3"/>
    </sheetView>
  </sheetViews>
  <sheetFormatPr defaultRowHeight="12.75"/>
  <sheetData>
    <row r="1" spans="1:1">
      <c r="A1" t="s">
        <v>192</v>
      </c>
    </row>
    <row r="3" spans="1:1">
      <c r="A3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  <vt:lpstr>Sheet1</vt:lpstr>
      <vt:lpstr>DM_nut</vt:lpstr>
      <vt:lpstr>Energi_nut</vt:lpstr>
      <vt:lpstr>FeedIngredients</vt:lpstr>
      <vt:lpstr>HargaPakan</vt:lpstr>
      <vt:lpstr>'Print form'!Print_Area</vt:lpstr>
      <vt:lpstr>Protein_nut</vt:lpstr>
      <vt:lpstr>Serat_nut</vt:lpstr>
    </vt:vector>
  </TitlesOfParts>
  <Company>University of Melbourne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DESKTOP</cp:lastModifiedBy>
  <cp:lastPrinted>2020-08-25T22:39:34Z</cp:lastPrinted>
  <dcterms:created xsi:type="dcterms:W3CDTF">1999-11-08T10:39:11Z</dcterms:created>
  <dcterms:modified xsi:type="dcterms:W3CDTF">2023-09-15T06:07:45Z</dcterms:modified>
</cp:coreProperties>
</file>